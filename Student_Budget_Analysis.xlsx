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e68b403d05c4bc/Documents/Project 1/"/>
    </mc:Choice>
  </mc:AlternateContent>
  <xr:revisionPtr revIDLastSave="461" documentId="13_ncr:1_{CA5B1A7F-07AF-4BD3-9095-C991DB88EABD}" xr6:coauthVersionLast="47" xr6:coauthVersionMax="47" xr10:uidLastSave="{07E0F8F7-43F6-45AB-932B-C1B4EBCD5F63}"/>
  <bookViews>
    <workbookView xWindow="-108" yWindow="-108" windowWidth="23256" windowHeight="12456" xr2:uid="{CE2DC8C3-E57F-40E2-B143-983F5E322B2A}"/>
  </bookViews>
  <sheets>
    <sheet name="Dashboard" sheetId="9" r:id="rId1"/>
    <sheet name="Q1 Year Spending" sheetId="2" r:id="rId2"/>
    <sheet name="Q2 Income Gap" sheetId="3" r:id="rId3"/>
    <sheet name="Q3 By Major" sheetId="4" r:id="rId4"/>
    <sheet name="Q4_Overspenders" sheetId="8" r:id="rId5"/>
    <sheet name="Q5 Payment Method" sheetId="6" r:id="rId6"/>
    <sheet name="Pivot - Payment Method sheet" sheetId="7" r:id="rId7"/>
  </sheets>
  <definedNames>
    <definedName name="ExternalData_1" localSheetId="1" hidden="1">'Q1 Year Spending'!$A$1:$F$5</definedName>
    <definedName name="ExternalData_2" localSheetId="2" hidden="1">'Q2 Income Gap'!$A$1:$G$13</definedName>
    <definedName name="ExternalData_3" localSheetId="3" hidden="1">'Q3 By Major'!$A$1:$H$6</definedName>
    <definedName name="ExternalData_5" localSheetId="5" hidden="1">'Q5 Payment Method'!$A$1:$D$25</definedName>
    <definedName name="ExternalData_6" localSheetId="4" hidden="1">Q4_Overspenders!$A$1:$G$51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8" l="1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B2" i="3"/>
  <c r="B3" i="3"/>
  <c r="B4" i="3"/>
  <c r="B5" i="3"/>
  <c r="B6" i="3"/>
  <c r="B7" i="3"/>
  <c r="B8" i="3"/>
  <c r="B9" i="3"/>
  <c r="B10" i="3"/>
  <c r="B11" i="3"/>
  <c r="B12" i="3"/>
  <c r="B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1C87D-B09B-4D82-A3A2-B0166506C5D3}" keepAlive="1" name="Query - q1_spending_by_year" description="Connection to the 'q1_spending_by_year' query in the workbook." type="5" refreshedVersion="8" background="1" saveData="1">
    <dbPr connection="Provider=Microsoft.Mashup.OleDb.1;Data Source=$Workbook$;Location=q1_spending_by_year;Extended Properties=&quot;&quot;" command="SELECT * FROM [q1_spending_by_year]"/>
  </connection>
  <connection id="2" xr16:uid="{5AA2FECC-3B30-4688-8A28-EE2E9615AD0D}" keepAlive="1" name="Query - q2_income_vs_expense" description="Connection to the 'q2_income_vs_expense' query in the workbook." type="5" refreshedVersion="8" background="1" saveData="1">
    <dbPr connection="Provider=Microsoft.Mashup.OleDb.1;Data Source=$Workbook$;Location=q2_income_vs_expense;Extended Properties=&quot;&quot;" command="SELECT * FROM [q2_income_vs_expense]"/>
  </connection>
  <connection id="3" xr16:uid="{9BC85E0A-D301-473C-A526-8E6E48518531}" keepAlive="1" name="Query - q3_spending_by_major" description="Connection to the 'q3_spending_by_major' query in the workbook." type="5" refreshedVersion="8" background="1" saveData="1">
    <dbPr connection="Provider=Microsoft.Mashup.OleDb.1;Data Source=$Workbook$;Location=q3_spending_by_major;Extended Properties=&quot;&quot;" command="SELECT * FROM [q3_spending_by_major]"/>
  </connection>
  <connection id="4" xr16:uid="{640CAA51-C64C-41C6-B495-C939F1DBA9E1}" keepAlive="1" name="Query - q4_overspenders" description="Connection to the 'q4_overspenders' query in the workbook." type="5" refreshedVersion="8" background="1" saveData="1">
    <dbPr connection="Provider=Microsoft.Mashup.OleDb.1;Data Source=$Workbook$;Location=q4_overspenders;Extended Properties=&quot;&quot;" command="SELECT * FROM [q4_overspenders]"/>
  </connection>
  <connection id="5" xr16:uid="{8C9941F2-C18C-4063-A133-1614EDDB1DB5}" keepAlive="1" name="Query - q4_overspenders (2)" description="Connection to the 'q4_overspenders (2)' query in the workbook." type="5" refreshedVersion="8" background="1" saveData="1">
    <dbPr connection="Provider=Microsoft.Mashup.OleDb.1;Data Source=$Workbook$;Location=&quot;q4_overspenders (2)&quot;;Extended Properties=&quot;&quot;" command="SELECT * FROM [q4_overspenders (2)]"/>
  </connection>
  <connection id="6" xr16:uid="{93215BEA-262B-4023-B25F-918C88588194}" keepAlive="1" name="Query - q5_payment_by_age" description="Connection to the 'q5_payment_by_age' query in the workbook." type="5" refreshedVersion="8" background="1" saveData="1">
    <dbPr connection="Provider=Microsoft.Mashup.OleDb.1;Data Source=$Workbook$;Location=q5_payment_by_age;Extended Properties=&quot;&quot;" command="SELECT * FROM [q5_payment_by_age]"/>
  </connection>
</connections>
</file>

<file path=xl/sharedStrings.xml><?xml version="1.0" encoding="utf-8"?>
<sst xmlns="http://schemas.openxmlformats.org/spreadsheetml/2006/main" count="250" uniqueCount="45">
  <si>
    <t>Year_in_school</t>
  </si>
  <si>
    <t>Avg_Food</t>
  </si>
  <si>
    <t>Avg_Housing</t>
  </si>
  <si>
    <t>Avg_Entertainment</t>
  </si>
  <si>
    <t>Avg_Transportation</t>
  </si>
  <si>
    <t>Avg_Calculated_Total</t>
  </si>
  <si>
    <t>Junior</t>
  </si>
  <si>
    <t>Freshman</t>
  </si>
  <si>
    <t>Sophomore</t>
  </si>
  <si>
    <t>Senior</t>
  </si>
  <si>
    <t>Gender</t>
  </si>
  <si>
    <t>Avg_Income</t>
  </si>
  <si>
    <t>Avg_Aid</t>
  </si>
  <si>
    <t>Avg_Spending</t>
  </si>
  <si>
    <t>Avg_Surplus_Deficit</t>
  </si>
  <si>
    <t>Male</t>
  </si>
  <si>
    <t>Non-binary</t>
  </si>
  <si>
    <t>Female</t>
  </si>
  <si>
    <t>Major</t>
  </si>
  <si>
    <t>Avg_Tuition</t>
  </si>
  <si>
    <t>Avg_Technology</t>
  </si>
  <si>
    <t>Avg_Books</t>
  </si>
  <si>
    <t>Student_Count</t>
  </si>
  <si>
    <t>Psychology</t>
  </si>
  <si>
    <t>Computer Science</t>
  </si>
  <si>
    <t>Economics</t>
  </si>
  <si>
    <t>Biology</t>
  </si>
  <si>
    <t>Engineering</t>
  </si>
  <si>
    <t>Age</t>
  </si>
  <si>
    <t>Their_Total</t>
  </si>
  <si>
    <t>Year_Avg_Spending</t>
  </si>
  <si>
    <t>Overspend_Amount</t>
  </si>
  <si>
    <t>Preferred_payment_method</t>
  </si>
  <si>
    <t>Pct_Within_Age</t>
  </si>
  <si>
    <t>Credit/Debit Card</t>
  </si>
  <si>
    <t>Mobile Payment App</t>
  </si>
  <si>
    <t>Cash</t>
  </si>
  <si>
    <t>Row Labels</t>
  </si>
  <si>
    <t>Grand Total</t>
  </si>
  <si>
    <t>Sum of Pct_Within_Age</t>
  </si>
  <si>
    <t>Column Labels</t>
  </si>
  <si>
    <t>Student Budget Analysis</t>
  </si>
  <si>
    <t>Year_Gender</t>
  </si>
  <si>
    <r>
      <t xml:space="preserve">1,000 Students </t>
    </r>
    <r>
      <rPr>
        <b/>
        <sz val="10"/>
        <color theme="2" tint="-0.749992370372631"/>
        <rFont val="Times New Roman"/>
        <family val="1"/>
      </rPr>
      <t>·</t>
    </r>
    <r>
      <rPr>
        <sz val="10"/>
        <color theme="2" tint="-0.749992370372631"/>
        <rFont val="Times New Roman"/>
        <family val="1"/>
      </rPr>
      <t xml:space="preserve"> Ages 18–25 </t>
    </r>
    <r>
      <rPr>
        <b/>
        <sz val="10"/>
        <color theme="2" tint="-0.749992370372631"/>
        <rFont val="Times New Roman"/>
        <family val="1"/>
      </rPr>
      <t>·</t>
    </r>
    <r>
      <rPr>
        <sz val="10"/>
        <color theme="2" tint="-0.749992370372631"/>
        <rFont val="Times New Roman"/>
        <family val="1"/>
      </rPr>
      <t xml:space="preserve"> 4 year groups </t>
    </r>
    <r>
      <rPr>
        <b/>
        <sz val="10"/>
        <color theme="2" tint="-0.749992370372631"/>
        <rFont val="Times New Roman"/>
        <family val="1"/>
      </rPr>
      <t>·</t>
    </r>
    <r>
      <rPr>
        <sz val="10"/>
        <color theme="2" tint="-0.749992370372631"/>
        <rFont val="Times New Roman"/>
        <family val="1"/>
      </rPr>
      <t xml:space="preserve">  5 Majors </t>
    </r>
    <r>
      <rPr>
        <b/>
        <sz val="10"/>
        <color theme="2" tint="-0.749992370372631"/>
        <rFont val="Times New Roman"/>
        <family val="1"/>
      </rPr>
      <t>·</t>
    </r>
    <r>
      <rPr>
        <sz val="10"/>
        <color theme="2" tint="-0.749992370372631"/>
        <rFont val="Times New Roman"/>
        <family val="1"/>
      </rPr>
      <t xml:space="preserve">  SQL + Excel  Analysis</t>
    </r>
  </si>
  <si>
    <t>Year -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</si>
</sst>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0"/>
      <color theme="2" tint="-0.749992370372631"/>
      <name val="Times New Roman"/>
      <family val="1"/>
    </font>
    <font>
      <b/>
      <sz val="10"/>
      <color theme="2" tint="-0.74999237037263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i="1"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CA" i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Spending By Category and Year</a:t>
            </a:r>
            <a:endParaRPr lang="en-CA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 Year Spending'!$B$1</c:f>
              <c:strCache>
                <c:ptCount val="1"/>
                <c:pt idx="0">
                  <c:v>Avg_Food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 Year Spending'!$A$2:$A$5</c:f>
              <c:strCache>
                <c:ptCount val="4"/>
                <c:pt idx="0">
                  <c:v>Junior</c:v>
                </c:pt>
                <c:pt idx="1">
                  <c:v>Freshman</c:v>
                </c:pt>
                <c:pt idx="2">
                  <c:v>Sophomore</c:v>
                </c:pt>
                <c:pt idx="3">
                  <c:v>Senior</c:v>
                </c:pt>
              </c:strCache>
            </c:strRef>
          </c:cat>
          <c:val>
            <c:numRef>
              <c:f>'Q1 Year Spending'!$B$2:$B$5</c:f>
              <c:numCache>
                <c:formatCode>General</c:formatCode>
                <c:ptCount val="4"/>
                <c:pt idx="0">
                  <c:v>247.55</c:v>
                </c:pt>
                <c:pt idx="1">
                  <c:v>253.72</c:v>
                </c:pt>
                <c:pt idx="2">
                  <c:v>251.83</c:v>
                </c:pt>
                <c:pt idx="3">
                  <c:v>257.3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1-4208-BCFE-047A1BE5E16E}"/>
            </c:ext>
          </c:extLst>
        </c:ser>
        <c:ser>
          <c:idx val="1"/>
          <c:order val="1"/>
          <c:tx>
            <c:strRef>
              <c:f>'Q1 Year Spending'!$C$1</c:f>
              <c:strCache>
                <c:ptCount val="1"/>
                <c:pt idx="0">
                  <c:v>Avg_Housing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 Year Spending'!$A$2:$A$5</c:f>
              <c:strCache>
                <c:ptCount val="4"/>
                <c:pt idx="0">
                  <c:v>Junior</c:v>
                </c:pt>
                <c:pt idx="1">
                  <c:v>Freshman</c:v>
                </c:pt>
                <c:pt idx="2">
                  <c:v>Sophomore</c:v>
                </c:pt>
                <c:pt idx="3">
                  <c:v>Senior</c:v>
                </c:pt>
              </c:strCache>
            </c:strRef>
          </c:cat>
          <c:val>
            <c:numRef>
              <c:f>'Q1 Year Spending'!$C$2:$C$5</c:f>
              <c:numCache>
                <c:formatCode>General</c:formatCode>
                <c:ptCount val="4"/>
                <c:pt idx="0">
                  <c:v>705.29</c:v>
                </c:pt>
                <c:pt idx="1">
                  <c:v>703.21</c:v>
                </c:pt>
                <c:pt idx="2">
                  <c:v>665.9</c:v>
                </c:pt>
                <c:pt idx="3">
                  <c:v>708.96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1-4208-BCFE-047A1BE5E16E}"/>
            </c:ext>
          </c:extLst>
        </c:ser>
        <c:ser>
          <c:idx val="2"/>
          <c:order val="2"/>
          <c:tx>
            <c:strRef>
              <c:f>'Q1 Year Spending'!$D$1</c:f>
              <c:strCache>
                <c:ptCount val="1"/>
                <c:pt idx="0">
                  <c:v>Avg_Entertainment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 Year Spending'!$A$2:$A$5</c:f>
              <c:strCache>
                <c:ptCount val="4"/>
                <c:pt idx="0">
                  <c:v>Junior</c:v>
                </c:pt>
                <c:pt idx="1">
                  <c:v>Freshman</c:v>
                </c:pt>
                <c:pt idx="2">
                  <c:v>Sophomore</c:v>
                </c:pt>
                <c:pt idx="3">
                  <c:v>Senior</c:v>
                </c:pt>
              </c:strCache>
            </c:strRef>
          </c:cat>
          <c:val>
            <c:numRef>
              <c:f>'Q1 Year Spending'!$D$2:$D$5</c:f>
              <c:numCache>
                <c:formatCode>General</c:formatCode>
                <c:ptCount val="4"/>
                <c:pt idx="0">
                  <c:v>84.96</c:v>
                </c:pt>
                <c:pt idx="1">
                  <c:v>86.13</c:v>
                </c:pt>
                <c:pt idx="2">
                  <c:v>85.06</c:v>
                </c:pt>
                <c:pt idx="3">
                  <c:v>83.13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1-4208-BCFE-047A1BE5E16E}"/>
            </c:ext>
          </c:extLst>
        </c:ser>
        <c:ser>
          <c:idx val="3"/>
          <c:order val="3"/>
          <c:tx>
            <c:strRef>
              <c:f>'Q1 Year Spending'!$E$1</c:f>
              <c:strCache>
                <c:ptCount val="1"/>
                <c:pt idx="0">
                  <c:v>Avg_Transportation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 Year Spending'!$A$2:$A$5</c:f>
              <c:strCache>
                <c:ptCount val="4"/>
                <c:pt idx="0">
                  <c:v>Junior</c:v>
                </c:pt>
                <c:pt idx="1">
                  <c:v>Freshman</c:v>
                </c:pt>
                <c:pt idx="2">
                  <c:v>Sophomore</c:v>
                </c:pt>
                <c:pt idx="3">
                  <c:v>Senior</c:v>
                </c:pt>
              </c:strCache>
            </c:strRef>
          </c:cat>
          <c:val>
            <c:numRef>
              <c:f>'Q1 Year Spending'!$E$2:$E$5</c:f>
              <c:numCache>
                <c:formatCode>General</c:formatCode>
                <c:ptCount val="4"/>
                <c:pt idx="0">
                  <c:v>121.75</c:v>
                </c:pt>
                <c:pt idx="1">
                  <c:v>124.78</c:v>
                </c:pt>
                <c:pt idx="2">
                  <c:v>127.31</c:v>
                </c:pt>
                <c:pt idx="3">
                  <c:v>124.71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31-4208-BCFE-047A1BE5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9804496"/>
        <c:axId val="1159795856"/>
      </c:barChart>
      <c:catAx>
        <c:axId val="115980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795856"/>
        <c:crosses val="autoZero"/>
        <c:auto val="1"/>
        <c:lblAlgn val="ctr"/>
        <c:lblOffset val="100"/>
        <c:noMultiLvlLbl val="0"/>
      </c:catAx>
      <c:valAx>
        <c:axId val="115979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0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i="1">
                <a:latin typeface="Times New Roman" panose="02020603050405020304" pitchFamily="18" charset="0"/>
                <a:cs typeface="Times New Roman" panose="02020603050405020304" pitchFamily="18" charset="0"/>
              </a:rPr>
              <a:t>Spending</a:t>
            </a:r>
            <a:r>
              <a:rPr lang="en-CA" sz="1400" i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Composition by Major</a:t>
            </a:r>
            <a:endParaRPr lang="en-CA" sz="1400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'Q3 By Major'!$B$1</c:f>
              <c:strCache>
                <c:ptCount val="1"/>
                <c:pt idx="0">
                  <c:v>Avg_Tuition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By Major'!$A$2:$A$6</c:f>
              <c:strCache>
                <c:ptCount val="5"/>
                <c:pt idx="0">
                  <c:v>Psychology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Biology</c:v>
                </c:pt>
                <c:pt idx="4">
                  <c:v>Engineering</c:v>
                </c:pt>
              </c:strCache>
            </c:strRef>
          </c:cat>
          <c:val>
            <c:numRef>
              <c:f>'Q3 By Major'!$B$2:$B$6</c:f>
              <c:numCache>
                <c:formatCode>General</c:formatCode>
                <c:ptCount val="5"/>
                <c:pt idx="0">
                  <c:v>4661.63</c:v>
                </c:pt>
                <c:pt idx="1">
                  <c:v>4553.99</c:v>
                </c:pt>
                <c:pt idx="2">
                  <c:v>4504.96</c:v>
                </c:pt>
                <c:pt idx="3">
                  <c:v>4457.04</c:v>
                </c:pt>
                <c:pt idx="4">
                  <c:v>4443.1000000000004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B-4824-A335-62B2665D993E}"/>
            </c:ext>
          </c:extLst>
        </c:ser>
        <c:ser>
          <c:idx val="1"/>
          <c:order val="1"/>
          <c:tx>
            <c:strRef>
              <c:f>'Q3 By Major'!$C$1</c:f>
              <c:strCache>
                <c:ptCount val="1"/>
                <c:pt idx="0">
                  <c:v>Avg_Housing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 By Major'!$A$2:$A$6</c:f>
              <c:strCache>
                <c:ptCount val="5"/>
                <c:pt idx="0">
                  <c:v>Psychology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Biology</c:v>
                </c:pt>
                <c:pt idx="4">
                  <c:v>Engineering</c:v>
                </c:pt>
              </c:strCache>
            </c:strRef>
          </c:cat>
          <c:val>
            <c:numRef>
              <c:f>'Q3 By Major'!$C$2:$C$6</c:f>
              <c:numCache>
                <c:formatCode>General</c:formatCode>
                <c:ptCount val="5"/>
                <c:pt idx="0">
                  <c:v>692.73</c:v>
                </c:pt>
                <c:pt idx="1">
                  <c:v>717.49</c:v>
                </c:pt>
                <c:pt idx="2">
                  <c:v>674.31</c:v>
                </c:pt>
                <c:pt idx="3">
                  <c:v>699.58</c:v>
                </c:pt>
                <c:pt idx="4">
                  <c:v>696.46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B-4824-A335-62B2665D993E}"/>
            </c:ext>
          </c:extLst>
        </c:ser>
        <c:ser>
          <c:idx val="2"/>
          <c:order val="2"/>
          <c:tx>
            <c:strRef>
              <c:f>'Q3 By Major'!$D$1</c:f>
              <c:strCache>
                <c:ptCount val="1"/>
                <c:pt idx="0">
                  <c:v>Avg_Food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 By Major'!$A$2:$A$6</c:f>
              <c:strCache>
                <c:ptCount val="5"/>
                <c:pt idx="0">
                  <c:v>Psychology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Biology</c:v>
                </c:pt>
                <c:pt idx="4">
                  <c:v>Engineering</c:v>
                </c:pt>
              </c:strCache>
            </c:strRef>
          </c:cat>
          <c:val>
            <c:numRef>
              <c:f>'Q3 By Major'!$D$2:$D$6</c:f>
              <c:numCache>
                <c:formatCode>General</c:formatCode>
                <c:ptCount val="5"/>
                <c:pt idx="0">
                  <c:v>254.16</c:v>
                </c:pt>
                <c:pt idx="1">
                  <c:v>245.36</c:v>
                </c:pt>
                <c:pt idx="2">
                  <c:v>258.26</c:v>
                </c:pt>
                <c:pt idx="3">
                  <c:v>251.48</c:v>
                </c:pt>
                <c:pt idx="4">
                  <c:v>253.87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4B-4824-A335-62B2665D993E}"/>
            </c:ext>
          </c:extLst>
        </c:ser>
        <c:ser>
          <c:idx val="3"/>
          <c:order val="3"/>
          <c:tx>
            <c:strRef>
              <c:f>'Q3 By Major'!$E$1</c:f>
              <c:strCache>
                <c:ptCount val="1"/>
                <c:pt idx="0">
                  <c:v>Avg_Technology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 By Major'!$A$2:$A$6</c:f>
              <c:strCache>
                <c:ptCount val="5"/>
                <c:pt idx="0">
                  <c:v>Psychology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Biology</c:v>
                </c:pt>
                <c:pt idx="4">
                  <c:v>Engineering</c:v>
                </c:pt>
              </c:strCache>
            </c:strRef>
          </c:cat>
          <c:val>
            <c:numRef>
              <c:f>'Q3 By Major'!$E$2:$E$6</c:f>
              <c:numCache>
                <c:formatCode>General</c:formatCode>
                <c:ptCount val="5"/>
                <c:pt idx="0">
                  <c:v>176.29</c:v>
                </c:pt>
                <c:pt idx="1">
                  <c:v>175.99</c:v>
                </c:pt>
                <c:pt idx="2">
                  <c:v>178.07</c:v>
                </c:pt>
                <c:pt idx="3">
                  <c:v>182.44</c:v>
                </c:pt>
                <c:pt idx="4">
                  <c:v>177.88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4B-4824-A335-62B2665D993E}"/>
            </c:ext>
          </c:extLst>
        </c:ser>
        <c:ser>
          <c:idx val="4"/>
          <c:order val="4"/>
          <c:tx>
            <c:strRef>
              <c:f>'Q3 By Major'!$F$1</c:f>
              <c:strCache>
                <c:ptCount val="1"/>
                <c:pt idx="0">
                  <c:v>Avg_Books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 By Major'!$A$2:$A$6</c:f>
              <c:strCache>
                <c:ptCount val="5"/>
                <c:pt idx="0">
                  <c:v>Psychology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Biology</c:v>
                </c:pt>
                <c:pt idx="4">
                  <c:v>Engineering</c:v>
                </c:pt>
              </c:strCache>
            </c:strRef>
          </c:cat>
          <c:val>
            <c:numRef>
              <c:f>'Q3 By Major'!$F$2:$F$6</c:f>
              <c:numCache>
                <c:formatCode>General</c:formatCode>
                <c:ptCount val="5"/>
                <c:pt idx="0">
                  <c:v>171.13</c:v>
                </c:pt>
                <c:pt idx="1">
                  <c:v>175.1</c:v>
                </c:pt>
                <c:pt idx="2">
                  <c:v>173.35</c:v>
                </c:pt>
                <c:pt idx="3">
                  <c:v>177.34</c:v>
                </c:pt>
                <c:pt idx="4">
                  <c:v>176.34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4B-4824-A335-62B2665D9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7861040"/>
        <c:axId val="477862000"/>
      </c:barChart>
      <c:catAx>
        <c:axId val="47786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62000"/>
        <c:crosses val="autoZero"/>
        <c:auto val="1"/>
        <c:lblAlgn val="ctr"/>
        <c:lblOffset val="100"/>
        <c:noMultiLvlLbl val="0"/>
      </c:catAx>
      <c:valAx>
        <c:axId val="4778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6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[Student_Budget_Analysis.xlsx]Pivot - Payment Method sheet!PivotTable19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i="1">
                <a:latin typeface="Times New Roman" panose="02020603050405020304" pitchFamily="18" charset="0"/>
                <a:cs typeface="Times New Roman" panose="02020603050405020304" pitchFamily="18" charset="0"/>
              </a:rPr>
              <a:t>Payment</a:t>
            </a:r>
            <a:r>
              <a:rPr lang="en-CA" i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Method Share by Age Group</a:t>
            </a:r>
            <a:endParaRPr lang="en-CA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5863198814620142"/>
          <c:y val="0.110594283822630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- Payment Method sheet'!$B$3:$B$4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Payment Method sheet'!$A$5:$A$13</c:f>
              <c:strCache>
                <c:ptCount val="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</c:strCache>
            </c:strRef>
          </c:cat>
          <c:val>
            <c:numRef>
              <c:f>'Pivot - Payment Method sheet'!$B$5:$B$13</c:f>
              <c:numCache>
                <c:formatCode>General</c:formatCode>
                <c:ptCount val="8"/>
                <c:pt idx="0">
                  <c:v>30.6</c:v>
                </c:pt>
                <c:pt idx="1">
                  <c:v>33.299999999999997</c:v>
                </c:pt>
                <c:pt idx="2">
                  <c:v>25.2</c:v>
                </c:pt>
                <c:pt idx="3">
                  <c:v>32.200000000000003</c:v>
                </c:pt>
                <c:pt idx="4">
                  <c:v>28.5</c:v>
                </c:pt>
                <c:pt idx="5">
                  <c:v>34.4</c:v>
                </c:pt>
                <c:pt idx="6">
                  <c:v>34.6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7-4ABE-BCF1-602EEC3D7352}"/>
            </c:ext>
          </c:extLst>
        </c:ser>
        <c:ser>
          <c:idx val="1"/>
          <c:order val="1"/>
          <c:tx>
            <c:strRef>
              <c:f>'Pivot - Payment Method sheet'!$C$3:$C$4</c:f>
              <c:strCache>
                <c:ptCount val="1"/>
                <c:pt idx="0">
                  <c:v>Credit/Debit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- Payment Method sheet'!$A$5:$A$13</c:f>
              <c:strCache>
                <c:ptCount val="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</c:strCache>
            </c:strRef>
          </c:cat>
          <c:val>
            <c:numRef>
              <c:f>'Pivot - Payment Method sheet'!$C$5:$C$13</c:f>
              <c:numCache>
                <c:formatCode>General</c:formatCode>
                <c:ptCount val="8"/>
                <c:pt idx="0">
                  <c:v>36.299999999999997</c:v>
                </c:pt>
                <c:pt idx="1">
                  <c:v>26.9</c:v>
                </c:pt>
                <c:pt idx="2">
                  <c:v>30.6</c:v>
                </c:pt>
                <c:pt idx="3">
                  <c:v>34.700000000000003</c:v>
                </c:pt>
                <c:pt idx="4">
                  <c:v>40.799999999999997</c:v>
                </c:pt>
                <c:pt idx="5">
                  <c:v>32</c:v>
                </c:pt>
                <c:pt idx="6">
                  <c:v>33.1</c:v>
                </c:pt>
                <c:pt idx="7">
                  <c:v>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F7-4ABE-BCF1-602EEC3D7352}"/>
            </c:ext>
          </c:extLst>
        </c:ser>
        <c:ser>
          <c:idx val="2"/>
          <c:order val="2"/>
          <c:tx>
            <c:strRef>
              <c:f>'Pivot - Payment Method sheet'!$D$3:$D$4</c:f>
              <c:strCache>
                <c:ptCount val="1"/>
                <c:pt idx="0">
                  <c:v>Mobile Payment App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- Payment Method sheet'!$A$5:$A$13</c:f>
              <c:strCache>
                <c:ptCount val="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</c:strCache>
            </c:strRef>
          </c:cat>
          <c:val>
            <c:numRef>
              <c:f>'Pivot - Payment Method sheet'!$D$5:$D$13</c:f>
              <c:numCache>
                <c:formatCode>General</c:formatCode>
                <c:ptCount val="8"/>
                <c:pt idx="0">
                  <c:v>33.1</c:v>
                </c:pt>
                <c:pt idx="1">
                  <c:v>39.799999999999997</c:v>
                </c:pt>
                <c:pt idx="2">
                  <c:v>44.1</c:v>
                </c:pt>
                <c:pt idx="3">
                  <c:v>33.1</c:v>
                </c:pt>
                <c:pt idx="4">
                  <c:v>30.8</c:v>
                </c:pt>
                <c:pt idx="5">
                  <c:v>33.6</c:v>
                </c:pt>
                <c:pt idx="6">
                  <c:v>32.4</c:v>
                </c:pt>
                <c:pt idx="7">
                  <c:v>35.200000000000003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F7-4ABE-BCF1-602EEC3D7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7890800"/>
        <c:axId val="477893680"/>
      </c:barChart>
      <c:catAx>
        <c:axId val="47789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93680"/>
        <c:crosses val="autoZero"/>
        <c:auto val="1"/>
        <c:lblAlgn val="ctr"/>
        <c:lblOffset val="100"/>
        <c:noMultiLvlLbl val="0"/>
      </c:catAx>
      <c:valAx>
        <c:axId val="47789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Surplus or Deficit by Year and Gender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9341873310612288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826334208223969E-2"/>
          <c:y val="0.19486111111111112"/>
          <c:w val="0.90339588801399828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'Q2 Income Gap'!$G$1</c:f>
              <c:strCache>
                <c:ptCount val="1"/>
                <c:pt idx="0">
                  <c:v>Avg_Surplus_Deficit</c:v>
                </c:pt>
              </c:strCache>
            </c:strRef>
          </c:tx>
          <c:spPr>
            <a:solidFill>
              <a:srgbClr val="00B0F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 Income Gap'!$B$2:$B$13</c:f>
              <c:strCache>
                <c:ptCount val="12"/>
                <c:pt idx="0">
                  <c:v>Junior - Male</c:v>
                </c:pt>
                <c:pt idx="1">
                  <c:v>Senior - Non-binary</c:v>
                </c:pt>
                <c:pt idx="2">
                  <c:v>Sophomore - Male</c:v>
                </c:pt>
                <c:pt idx="3">
                  <c:v>Junior - Non-binary</c:v>
                </c:pt>
                <c:pt idx="4">
                  <c:v>Freshman - Female</c:v>
                </c:pt>
                <c:pt idx="5">
                  <c:v>Sophomore - Female</c:v>
                </c:pt>
                <c:pt idx="6">
                  <c:v>Freshman - Non-binary</c:v>
                </c:pt>
                <c:pt idx="7">
                  <c:v>Sophomore - Non-binary</c:v>
                </c:pt>
                <c:pt idx="8">
                  <c:v>Senior - Female</c:v>
                </c:pt>
                <c:pt idx="9">
                  <c:v>Freshman - Male</c:v>
                </c:pt>
                <c:pt idx="10">
                  <c:v>Junior - Female</c:v>
                </c:pt>
                <c:pt idx="11">
                  <c:v>Senior - Male</c:v>
                </c:pt>
              </c:strCache>
            </c:strRef>
          </c:cat>
          <c:val>
            <c:numRef>
              <c:f>'Q2 Income Gap'!$G$2:$G$13</c:f>
              <c:numCache>
                <c:formatCode>General</c:formatCode>
                <c:ptCount val="12"/>
                <c:pt idx="0">
                  <c:v>-5061.0200000000004</c:v>
                </c:pt>
                <c:pt idx="1">
                  <c:v>-4862.97</c:v>
                </c:pt>
                <c:pt idx="2">
                  <c:v>-4854.7700000000004</c:v>
                </c:pt>
                <c:pt idx="3">
                  <c:v>-4825.54</c:v>
                </c:pt>
                <c:pt idx="4">
                  <c:v>-4799.2700000000004</c:v>
                </c:pt>
                <c:pt idx="5">
                  <c:v>-4777.08</c:v>
                </c:pt>
                <c:pt idx="6">
                  <c:v>-4765.12</c:v>
                </c:pt>
                <c:pt idx="7">
                  <c:v>-4762.55</c:v>
                </c:pt>
                <c:pt idx="8">
                  <c:v>-4746</c:v>
                </c:pt>
                <c:pt idx="9">
                  <c:v>-4716.07</c:v>
                </c:pt>
                <c:pt idx="10">
                  <c:v>-4686.1000000000004</c:v>
                </c:pt>
                <c:pt idx="11">
                  <c:v>-4646.41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D-4A31-A128-EA9ABB4835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90097408"/>
        <c:axId val="390093568"/>
      </c:barChart>
      <c:catAx>
        <c:axId val="39009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390093568"/>
        <c:crosses val="autoZero"/>
        <c:auto val="1"/>
        <c:lblAlgn val="ctr"/>
        <c:lblOffset val="100"/>
        <c:noMultiLvlLbl val="0"/>
      </c:catAx>
      <c:valAx>
        <c:axId val="390093568"/>
        <c:scaling>
          <c:orientation val="minMax"/>
          <c:min val="-600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09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Top 20 Overspenders vs Year Group Average</a:t>
            </a:r>
            <a:endParaRPr lang="en-CA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Q4_Overspenders!$G$1</c:f>
              <c:strCache>
                <c:ptCount val="1"/>
                <c:pt idx="0">
                  <c:v>Overspend_Amount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Q4_Overspenders!$H$1:$H$20</c15:sqref>
                  </c15:fullRef>
                </c:ext>
              </c:extLst>
              <c:f>Q4_Overspenders!$H$2:$H$20</c:f>
              <c:strCache>
                <c:ptCount val="19"/>
                <c:pt idx="0">
                  <c:v>Senior - Engineering</c:v>
                </c:pt>
                <c:pt idx="1">
                  <c:v>Junior - Computer Science</c:v>
                </c:pt>
                <c:pt idx="2">
                  <c:v>Freshman - Psychology</c:v>
                </c:pt>
                <c:pt idx="3">
                  <c:v>Sophomore - Psychology</c:v>
                </c:pt>
                <c:pt idx="4">
                  <c:v>Senior - Computer Science</c:v>
                </c:pt>
                <c:pt idx="5">
                  <c:v>Freshman - Engineering</c:v>
                </c:pt>
                <c:pt idx="6">
                  <c:v>Senior - Engineering</c:v>
                </c:pt>
                <c:pt idx="7">
                  <c:v>Freshman - Biology</c:v>
                </c:pt>
                <c:pt idx="8">
                  <c:v>Junior - Biology</c:v>
                </c:pt>
                <c:pt idx="9">
                  <c:v>Senior - Computer Science</c:v>
                </c:pt>
                <c:pt idx="10">
                  <c:v>Senior - Biology</c:v>
                </c:pt>
                <c:pt idx="11">
                  <c:v>Sophomore - Computer Science</c:v>
                </c:pt>
                <c:pt idx="12">
                  <c:v>Senior - Computer Science</c:v>
                </c:pt>
                <c:pt idx="13">
                  <c:v>Senior - Psychology</c:v>
                </c:pt>
                <c:pt idx="14">
                  <c:v>Sophomore - Computer Science</c:v>
                </c:pt>
                <c:pt idx="15">
                  <c:v>Sophomore - Computer Science</c:v>
                </c:pt>
                <c:pt idx="16">
                  <c:v>Senior - Economics</c:v>
                </c:pt>
                <c:pt idx="17">
                  <c:v>Freshman - Computer Science</c:v>
                </c:pt>
                <c:pt idx="18">
                  <c:v>Junior - Biology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Q4_Overspenders!$G$2:$G$20</c15:sqref>
                  </c15:fullRef>
                </c:ext>
              </c:extLst>
              <c:f>Q4_Overspenders!$G$3:$G$20</c:f>
              <c:numCache>
                <c:formatCode>General</c:formatCode>
                <c:ptCount val="18"/>
                <c:pt idx="0">
                  <c:v>1864.75</c:v>
                </c:pt>
                <c:pt idx="1">
                  <c:v>1785.59</c:v>
                </c:pt>
                <c:pt idx="2">
                  <c:v>1762.86</c:v>
                </c:pt>
                <c:pt idx="3">
                  <c:v>1749.87</c:v>
                </c:pt>
                <c:pt idx="4">
                  <c:v>1743.59</c:v>
                </c:pt>
                <c:pt idx="5">
                  <c:v>1740.87</c:v>
                </c:pt>
                <c:pt idx="6">
                  <c:v>1737.59</c:v>
                </c:pt>
                <c:pt idx="7">
                  <c:v>1734.75</c:v>
                </c:pt>
                <c:pt idx="8">
                  <c:v>1711.87</c:v>
                </c:pt>
                <c:pt idx="9">
                  <c:v>1686.87</c:v>
                </c:pt>
                <c:pt idx="10">
                  <c:v>1676.86</c:v>
                </c:pt>
                <c:pt idx="11">
                  <c:v>1673.87</c:v>
                </c:pt>
                <c:pt idx="12">
                  <c:v>1655.87</c:v>
                </c:pt>
                <c:pt idx="13">
                  <c:v>1652.86</c:v>
                </c:pt>
                <c:pt idx="14">
                  <c:v>1646.86</c:v>
                </c:pt>
                <c:pt idx="15">
                  <c:v>1645.87</c:v>
                </c:pt>
                <c:pt idx="16">
                  <c:v>1639.59</c:v>
                </c:pt>
                <c:pt idx="17">
                  <c:v>1634.75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8-4DF3-AD83-95E53737C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2046671"/>
        <c:axId val="82912623"/>
      </c:barChart>
      <c:catAx>
        <c:axId val="2220466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2623"/>
        <c:crosses val="autoZero"/>
        <c:auto val="1"/>
        <c:lblAlgn val="ctr"/>
        <c:lblOffset val="100"/>
        <c:noMultiLvlLbl val="0"/>
      </c:catAx>
      <c:valAx>
        <c:axId val="82912623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04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i="1"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CA" i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Spending By Category and Year</a:t>
            </a:r>
            <a:endParaRPr lang="en-CA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 Year Spending'!$B$1</c:f>
              <c:strCache>
                <c:ptCount val="1"/>
                <c:pt idx="0">
                  <c:v>Avg_Food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 Year Spending'!$A$2:$A$5</c:f>
              <c:strCache>
                <c:ptCount val="4"/>
                <c:pt idx="0">
                  <c:v>Junior</c:v>
                </c:pt>
                <c:pt idx="1">
                  <c:v>Freshman</c:v>
                </c:pt>
                <c:pt idx="2">
                  <c:v>Sophomore</c:v>
                </c:pt>
                <c:pt idx="3">
                  <c:v>Senior</c:v>
                </c:pt>
              </c:strCache>
            </c:strRef>
          </c:cat>
          <c:val>
            <c:numRef>
              <c:f>'Q1 Year Spending'!$B$2:$B$5</c:f>
              <c:numCache>
                <c:formatCode>General</c:formatCode>
                <c:ptCount val="4"/>
                <c:pt idx="0">
                  <c:v>247.55</c:v>
                </c:pt>
                <c:pt idx="1">
                  <c:v>253.72</c:v>
                </c:pt>
                <c:pt idx="2">
                  <c:v>251.83</c:v>
                </c:pt>
                <c:pt idx="3">
                  <c:v>257.3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C-4264-8151-C8640C172200}"/>
            </c:ext>
          </c:extLst>
        </c:ser>
        <c:ser>
          <c:idx val="1"/>
          <c:order val="1"/>
          <c:tx>
            <c:strRef>
              <c:f>'Q1 Year Spending'!$C$1</c:f>
              <c:strCache>
                <c:ptCount val="1"/>
                <c:pt idx="0">
                  <c:v>Avg_Housing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 Year Spending'!$A$2:$A$5</c:f>
              <c:strCache>
                <c:ptCount val="4"/>
                <c:pt idx="0">
                  <c:v>Junior</c:v>
                </c:pt>
                <c:pt idx="1">
                  <c:v>Freshman</c:v>
                </c:pt>
                <c:pt idx="2">
                  <c:v>Sophomore</c:v>
                </c:pt>
                <c:pt idx="3">
                  <c:v>Senior</c:v>
                </c:pt>
              </c:strCache>
            </c:strRef>
          </c:cat>
          <c:val>
            <c:numRef>
              <c:f>'Q1 Year Spending'!$C$2:$C$5</c:f>
              <c:numCache>
                <c:formatCode>General</c:formatCode>
                <c:ptCount val="4"/>
                <c:pt idx="0">
                  <c:v>705.29</c:v>
                </c:pt>
                <c:pt idx="1">
                  <c:v>703.21</c:v>
                </c:pt>
                <c:pt idx="2">
                  <c:v>665.9</c:v>
                </c:pt>
                <c:pt idx="3">
                  <c:v>708.96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9C-4264-8151-C8640C172200}"/>
            </c:ext>
          </c:extLst>
        </c:ser>
        <c:ser>
          <c:idx val="2"/>
          <c:order val="2"/>
          <c:tx>
            <c:strRef>
              <c:f>'Q1 Year Spending'!$D$1</c:f>
              <c:strCache>
                <c:ptCount val="1"/>
                <c:pt idx="0">
                  <c:v>Avg_Entertainment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 Year Spending'!$A$2:$A$5</c:f>
              <c:strCache>
                <c:ptCount val="4"/>
                <c:pt idx="0">
                  <c:v>Junior</c:v>
                </c:pt>
                <c:pt idx="1">
                  <c:v>Freshman</c:v>
                </c:pt>
                <c:pt idx="2">
                  <c:v>Sophomore</c:v>
                </c:pt>
                <c:pt idx="3">
                  <c:v>Senior</c:v>
                </c:pt>
              </c:strCache>
            </c:strRef>
          </c:cat>
          <c:val>
            <c:numRef>
              <c:f>'Q1 Year Spending'!$D$2:$D$5</c:f>
              <c:numCache>
                <c:formatCode>General</c:formatCode>
                <c:ptCount val="4"/>
                <c:pt idx="0">
                  <c:v>84.96</c:v>
                </c:pt>
                <c:pt idx="1">
                  <c:v>86.13</c:v>
                </c:pt>
                <c:pt idx="2">
                  <c:v>85.06</c:v>
                </c:pt>
                <c:pt idx="3">
                  <c:v>83.13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9C-4264-8151-C8640C172200}"/>
            </c:ext>
          </c:extLst>
        </c:ser>
        <c:ser>
          <c:idx val="3"/>
          <c:order val="3"/>
          <c:tx>
            <c:strRef>
              <c:f>'Q1 Year Spending'!$E$1</c:f>
              <c:strCache>
                <c:ptCount val="1"/>
                <c:pt idx="0">
                  <c:v>Avg_Transportation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 Year Spending'!$A$2:$A$5</c:f>
              <c:strCache>
                <c:ptCount val="4"/>
                <c:pt idx="0">
                  <c:v>Junior</c:v>
                </c:pt>
                <c:pt idx="1">
                  <c:v>Freshman</c:v>
                </c:pt>
                <c:pt idx="2">
                  <c:v>Sophomore</c:v>
                </c:pt>
                <c:pt idx="3">
                  <c:v>Senior</c:v>
                </c:pt>
              </c:strCache>
            </c:strRef>
          </c:cat>
          <c:val>
            <c:numRef>
              <c:f>'Q1 Year Spending'!$E$2:$E$5</c:f>
              <c:numCache>
                <c:formatCode>General</c:formatCode>
                <c:ptCount val="4"/>
                <c:pt idx="0">
                  <c:v>121.75</c:v>
                </c:pt>
                <c:pt idx="1">
                  <c:v>124.78</c:v>
                </c:pt>
                <c:pt idx="2">
                  <c:v>127.31</c:v>
                </c:pt>
                <c:pt idx="3">
                  <c:v>124.71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9C-4264-8151-C8640C172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9804496"/>
        <c:axId val="1159795856"/>
      </c:barChart>
      <c:catAx>
        <c:axId val="115980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795856"/>
        <c:crosses val="autoZero"/>
        <c:auto val="1"/>
        <c:lblAlgn val="ctr"/>
        <c:lblOffset val="100"/>
        <c:noMultiLvlLbl val="0"/>
      </c:catAx>
      <c:valAx>
        <c:axId val="115979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0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8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Surplus or Deficit by Year and Gender</a:t>
            </a:r>
            <a:endParaRPr lang="en-US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5773343734509968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826334208223969E-2"/>
          <c:y val="0.19486111111111112"/>
          <c:w val="0.90339588801399828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'Q2 Income Gap'!$G$1</c:f>
              <c:strCache>
                <c:ptCount val="1"/>
                <c:pt idx="0">
                  <c:v>Avg_Surplus_Deficit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 Income Gap'!$B$2:$B$13</c:f>
              <c:strCache>
                <c:ptCount val="12"/>
                <c:pt idx="0">
                  <c:v>Junior - Male</c:v>
                </c:pt>
                <c:pt idx="1">
                  <c:v>Senior - Non-binary</c:v>
                </c:pt>
                <c:pt idx="2">
                  <c:v>Sophomore - Male</c:v>
                </c:pt>
                <c:pt idx="3">
                  <c:v>Junior - Non-binary</c:v>
                </c:pt>
                <c:pt idx="4">
                  <c:v>Freshman - Female</c:v>
                </c:pt>
                <c:pt idx="5">
                  <c:v>Sophomore - Female</c:v>
                </c:pt>
                <c:pt idx="6">
                  <c:v>Freshman - Non-binary</c:v>
                </c:pt>
                <c:pt idx="7">
                  <c:v>Sophomore - Non-binary</c:v>
                </c:pt>
                <c:pt idx="8">
                  <c:v>Senior - Female</c:v>
                </c:pt>
                <c:pt idx="9">
                  <c:v>Freshman - Male</c:v>
                </c:pt>
                <c:pt idx="10">
                  <c:v>Junior - Female</c:v>
                </c:pt>
                <c:pt idx="11">
                  <c:v>Senior - Male</c:v>
                </c:pt>
              </c:strCache>
            </c:strRef>
          </c:cat>
          <c:val>
            <c:numRef>
              <c:f>'Q2 Income Gap'!$G$2:$G$13</c:f>
              <c:numCache>
                <c:formatCode>General</c:formatCode>
                <c:ptCount val="12"/>
                <c:pt idx="0">
                  <c:v>-5061.0200000000004</c:v>
                </c:pt>
                <c:pt idx="1">
                  <c:v>-4862.97</c:v>
                </c:pt>
                <c:pt idx="2">
                  <c:v>-4854.7700000000004</c:v>
                </c:pt>
                <c:pt idx="3">
                  <c:v>-4825.54</c:v>
                </c:pt>
                <c:pt idx="4">
                  <c:v>-4799.2700000000004</c:v>
                </c:pt>
                <c:pt idx="5">
                  <c:v>-4777.08</c:v>
                </c:pt>
                <c:pt idx="6">
                  <c:v>-4765.12</c:v>
                </c:pt>
                <c:pt idx="7">
                  <c:v>-4762.55</c:v>
                </c:pt>
                <c:pt idx="8">
                  <c:v>-4746</c:v>
                </c:pt>
                <c:pt idx="9">
                  <c:v>-4716.07</c:v>
                </c:pt>
                <c:pt idx="10">
                  <c:v>-4686.1000000000004</c:v>
                </c:pt>
                <c:pt idx="11">
                  <c:v>-4646.41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0-4455-BCE9-5652900A83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90097408"/>
        <c:axId val="390093568"/>
      </c:barChart>
      <c:catAx>
        <c:axId val="39009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390093568"/>
        <c:crosses val="autoZero"/>
        <c:auto val="1"/>
        <c:lblAlgn val="ctr"/>
        <c:lblOffset val="100"/>
        <c:noMultiLvlLbl val="0"/>
      </c:catAx>
      <c:valAx>
        <c:axId val="390093568"/>
        <c:scaling>
          <c:orientation val="minMax"/>
          <c:min val="-600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09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i="1">
                <a:latin typeface="Times New Roman" panose="02020603050405020304" pitchFamily="18" charset="0"/>
                <a:cs typeface="Times New Roman" panose="02020603050405020304" pitchFamily="18" charset="0"/>
              </a:rPr>
              <a:t>Spending</a:t>
            </a:r>
            <a:r>
              <a:rPr lang="en-CA" sz="1400" i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Composition by Major</a:t>
            </a:r>
            <a:endParaRPr lang="en-CA" sz="1400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'Q3 By Major'!$B$1</c:f>
              <c:strCache>
                <c:ptCount val="1"/>
                <c:pt idx="0">
                  <c:v>Avg_Tuition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By Major'!$A$2:$A$6</c:f>
              <c:strCache>
                <c:ptCount val="5"/>
                <c:pt idx="0">
                  <c:v>Psychology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Biology</c:v>
                </c:pt>
                <c:pt idx="4">
                  <c:v>Engineering</c:v>
                </c:pt>
              </c:strCache>
            </c:strRef>
          </c:cat>
          <c:val>
            <c:numRef>
              <c:f>'Q3 By Major'!$B$2:$B$6</c:f>
              <c:numCache>
                <c:formatCode>General</c:formatCode>
                <c:ptCount val="5"/>
                <c:pt idx="0">
                  <c:v>4661.63</c:v>
                </c:pt>
                <c:pt idx="1">
                  <c:v>4553.99</c:v>
                </c:pt>
                <c:pt idx="2">
                  <c:v>4504.96</c:v>
                </c:pt>
                <c:pt idx="3">
                  <c:v>4457.04</c:v>
                </c:pt>
                <c:pt idx="4">
                  <c:v>4443.1000000000004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A-4B7E-A1BF-92EB72DD303B}"/>
            </c:ext>
          </c:extLst>
        </c:ser>
        <c:ser>
          <c:idx val="1"/>
          <c:order val="1"/>
          <c:tx>
            <c:strRef>
              <c:f>'Q3 By Major'!$C$1</c:f>
              <c:strCache>
                <c:ptCount val="1"/>
                <c:pt idx="0">
                  <c:v>Avg_Housing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 By Major'!$A$2:$A$6</c:f>
              <c:strCache>
                <c:ptCount val="5"/>
                <c:pt idx="0">
                  <c:v>Psychology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Biology</c:v>
                </c:pt>
                <c:pt idx="4">
                  <c:v>Engineering</c:v>
                </c:pt>
              </c:strCache>
            </c:strRef>
          </c:cat>
          <c:val>
            <c:numRef>
              <c:f>'Q3 By Major'!$C$2:$C$6</c:f>
              <c:numCache>
                <c:formatCode>General</c:formatCode>
                <c:ptCount val="5"/>
                <c:pt idx="0">
                  <c:v>692.73</c:v>
                </c:pt>
                <c:pt idx="1">
                  <c:v>717.49</c:v>
                </c:pt>
                <c:pt idx="2">
                  <c:v>674.31</c:v>
                </c:pt>
                <c:pt idx="3">
                  <c:v>699.58</c:v>
                </c:pt>
                <c:pt idx="4">
                  <c:v>696.46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A-4B7E-A1BF-92EB72DD303B}"/>
            </c:ext>
          </c:extLst>
        </c:ser>
        <c:ser>
          <c:idx val="2"/>
          <c:order val="2"/>
          <c:tx>
            <c:strRef>
              <c:f>'Q3 By Major'!$D$1</c:f>
              <c:strCache>
                <c:ptCount val="1"/>
                <c:pt idx="0">
                  <c:v>Avg_Food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 By Major'!$A$2:$A$6</c:f>
              <c:strCache>
                <c:ptCount val="5"/>
                <c:pt idx="0">
                  <c:v>Psychology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Biology</c:v>
                </c:pt>
                <c:pt idx="4">
                  <c:v>Engineering</c:v>
                </c:pt>
              </c:strCache>
            </c:strRef>
          </c:cat>
          <c:val>
            <c:numRef>
              <c:f>'Q3 By Major'!$D$2:$D$6</c:f>
              <c:numCache>
                <c:formatCode>General</c:formatCode>
                <c:ptCount val="5"/>
                <c:pt idx="0">
                  <c:v>254.16</c:v>
                </c:pt>
                <c:pt idx="1">
                  <c:v>245.36</c:v>
                </c:pt>
                <c:pt idx="2">
                  <c:v>258.26</c:v>
                </c:pt>
                <c:pt idx="3">
                  <c:v>251.48</c:v>
                </c:pt>
                <c:pt idx="4">
                  <c:v>253.87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A-4B7E-A1BF-92EB72DD303B}"/>
            </c:ext>
          </c:extLst>
        </c:ser>
        <c:ser>
          <c:idx val="3"/>
          <c:order val="3"/>
          <c:tx>
            <c:strRef>
              <c:f>'Q3 By Major'!$E$1</c:f>
              <c:strCache>
                <c:ptCount val="1"/>
                <c:pt idx="0">
                  <c:v>Avg_Technology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 By Major'!$A$2:$A$6</c:f>
              <c:strCache>
                <c:ptCount val="5"/>
                <c:pt idx="0">
                  <c:v>Psychology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Biology</c:v>
                </c:pt>
                <c:pt idx="4">
                  <c:v>Engineering</c:v>
                </c:pt>
              </c:strCache>
            </c:strRef>
          </c:cat>
          <c:val>
            <c:numRef>
              <c:f>'Q3 By Major'!$E$2:$E$6</c:f>
              <c:numCache>
                <c:formatCode>General</c:formatCode>
                <c:ptCount val="5"/>
                <c:pt idx="0">
                  <c:v>176.29</c:v>
                </c:pt>
                <c:pt idx="1">
                  <c:v>175.99</c:v>
                </c:pt>
                <c:pt idx="2">
                  <c:v>178.07</c:v>
                </c:pt>
                <c:pt idx="3">
                  <c:v>182.44</c:v>
                </c:pt>
                <c:pt idx="4">
                  <c:v>177.88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1A-4B7E-A1BF-92EB72DD303B}"/>
            </c:ext>
          </c:extLst>
        </c:ser>
        <c:ser>
          <c:idx val="4"/>
          <c:order val="4"/>
          <c:tx>
            <c:strRef>
              <c:f>'Q3 By Major'!$F$1</c:f>
              <c:strCache>
                <c:ptCount val="1"/>
                <c:pt idx="0">
                  <c:v>Avg_Books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 By Major'!$A$2:$A$6</c:f>
              <c:strCache>
                <c:ptCount val="5"/>
                <c:pt idx="0">
                  <c:v>Psychology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Biology</c:v>
                </c:pt>
                <c:pt idx="4">
                  <c:v>Engineering</c:v>
                </c:pt>
              </c:strCache>
            </c:strRef>
          </c:cat>
          <c:val>
            <c:numRef>
              <c:f>'Q3 By Major'!$F$2:$F$6</c:f>
              <c:numCache>
                <c:formatCode>General</c:formatCode>
                <c:ptCount val="5"/>
                <c:pt idx="0">
                  <c:v>171.13</c:v>
                </c:pt>
                <c:pt idx="1">
                  <c:v>175.1</c:v>
                </c:pt>
                <c:pt idx="2">
                  <c:v>173.35</c:v>
                </c:pt>
                <c:pt idx="3">
                  <c:v>177.34</c:v>
                </c:pt>
                <c:pt idx="4">
                  <c:v>176.34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1A-4B7E-A1BF-92EB72DD3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7861040"/>
        <c:axId val="477862000"/>
      </c:barChart>
      <c:catAx>
        <c:axId val="47786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62000"/>
        <c:crosses val="autoZero"/>
        <c:auto val="1"/>
        <c:lblAlgn val="ctr"/>
        <c:lblOffset val="100"/>
        <c:noMultiLvlLbl val="0"/>
      </c:catAx>
      <c:valAx>
        <c:axId val="4778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6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Top 20 Overspenders vs Year Group Average</a:t>
            </a:r>
            <a:endParaRPr lang="en-CA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Q4_Overspenders!$G$1</c:f>
              <c:strCache>
                <c:ptCount val="1"/>
                <c:pt idx="0">
                  <c:v>Overspend_Amount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Q4_Overspenders!$H$1:$H$20</c15:sqref>
                  </c15:fullRef>
                </c:ext>
              </c:extLst>
              <c:f>Q4_Overspenders!$H$2:$H$20</c:f>
              <c:strCache>
                <c:ptCount val="19"/>
                <c:pt idx="0">
                  <c:v>Senior - Engineering</c:v>
                </c:pt>
                <c:pt idx="1">
                  <c:v>Junior - Computer Science</c:v>
                </c:pt>
                <c:pt idx="2">
                  <c:v>Freshman - Psychology</c:v>
                </c:pt>
                <c:pt idx="3">
                  <c:v>Sophomore - Psychology</c:v>
                </c:pt>
                <c:pt idx="4">
                  <c:v>Senior - Computer Science</c:v>
                </c:pt>
                <c:pt idx="5">
                  <c:v>Freshman - Engineering</c:v>
                </c:pt>
                <c:pt idx="6">
                  <c:v>Senior - Engineering</c:v>
                </c:pt>
                <c:pt idx="7">
                  <c:v>Freshman - Biology</c:v>
                </c:pt>
                <c:pt idx="8">
                  <c:v>Junior - Biology</c:v>
                </c:pt>
                <c:pt idx="9">
                  <c:v>Senior - Computer Science</c:v>
                </c:pt>
                <c:pt idx="10">
                  <c:v>Senior - Biology</c:v>
                </c:pt>
                <c:pt idx="11">
                  <c:v>Sophomore - Computer Science</c:v>
                </c:pt>
                <c:pt idx="12">
                  <c:v>Senior - Computer Science</c:v>
                </c:pt>
                <c:pt idx="13">
                  <c:v>Senior - Psychology</c:v>
                </c:pt>
                <c:pt idx="14">
                  <c:v>Sophomore - Computer Science</c:v>
                </c:pt>
                <c:pt idx="15">
                  <c:v>Sophomore - Computer Science</c:v>
                </c:pt>
                <c:pt idx="16">
                  <c:v>Senior - Economics</c:v>
                </c:pt>
                <c:pt idx="17">
                  <c:v>Freshman - Computer Science</c:v>
                </c:pt>
                <c:pt idx="18">
                  <c:v>Junior - Biology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Q4_Overspenders!$G$2:$G$20</c15:sqref>
                  </c15:fullRef>
                </c:ext>
              </c:extLst>
              <c:f>Q4_Overspenders!$G$3:$G$20</c:f>
              <c:numCache>
                <c:formatCode>General</c:formatCode>
                <c:ptCount val="18"/>
                <c:pt idx="0">
                  <c:v>1864.75</c:v>
                </c:pt>
                <c:pt idx="1">
                  <c:v>1785.59</c:v>
                </c:pt>
                <c:pt idx="2">
                  <c:v>1762.86</c:v>
                </c:pt>
                <c:pt idx="3">
                  <c:v>1749.87</c:v>
                </c:pt>
                <c:pt idx="4">
                  <c:v>1743.59</c:v>
                </c:pt>
                <c:pt idx="5">
                  <c:v>1740.87</c:v>
                </c:pt>
                <c:pt idx="6">
                  <c:v>1737.59</c:v>
                </c:pt>
                <c:pt idx="7">
                  <c:v>1734.75</c:v>
                </c:pt>
                <c:pt idx="8">
                  <c:v>1711.87</c:v>
                </c:pt>
                <c:pt idx="9">
                  <c:v>1686.87</c:v>
                </c:pt>
                <c:pt idx="10">
                  <c:v>1676.86</c:v>
                </c:pt>
                <c:pt idx="11">
                  <c:v>1673.87</c:v>
                </c:pt>
                <c:pt idx="12">
                  <c:v>1655.87</c:v>
                </c:pt>
                <c:pt idx="13">
                  <c:v>1652.86</c:v>
                </c:pt>
                <c:pt idx="14">
                  <c:v>1646.86</c:v>
                </c:pt>
                <c:pt idx="15">
                  <c:v>1645.87</c:v>
                </c:pt>
                <c:pt idx="16">
                  <c:v>1639.59</c:v>
                </c:pt>
                <c:pt idx="17">
                  <c:v>1634.75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E-4109-AF20-D469EA592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2046671"/>
        <c:axId val="82912623"/>
      </c:barChart>
      <c:catAx>
        <c:axId val="2220466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2623"/>
        <c:crosses val="autoZero"/>
        <c:auto val="1"/>
        <c:lblAlgn val="ctr"/>
        <c:lblOffset val="100"/>
        <c:noMultiLvlLbl val="0"/>
      </c:catAx>
      <c:valAx>
        <c:axId val="82912623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04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[Student_Budget_Analysis.xlsx]Pivot - Payment Method sheet!PivotTable19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i="1">
                <a:latin typeface="Times New Roman" panose="02020603050405020304" pitchFamily="18" charset="0"/>
                <a:cs typeface="Times New Roman" panose="02020603050405020304" pitchFamily="18" charset="0"/>
              </a:rPr>
              <a:t>Payment</a:t>
            </a:r>
            <a:r>
              <a:rPr lang="en-CA" i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Method Share by Age Group</a:t>
            </a:r>
            <a:endParaRPr lang="en-CA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- Payment Method sheet'!$B$3:$B$4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Payment Method sheet'!$A$5:$A$13</c:f>
              <c:strCache>
                <c:ptCount val="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</c:strCache>
            </c:strRef>
          </c:cat>
          <c:val>
            <c:numRef>
              <c:f>'Pivot - Payment Method sheet'!$B$5:$B$13</c:f>
              <c:numCache>
                <c:formatCode>General</c:formatCode>
                <c:ptCount val="8"/>
                <c:pt idx="0">
                  <c:v>30.6</c:v>
                </c:pt>
                <c:pt idx="1">
                  <c:v>33.299999999999997</c:v>
                </c:pt>
                <c:pt idx="2">
                  <c:v>25.2</c:v>
                </c:pt>
                <c:pt idx="3">
                  <c:v>32.200000000000003</c:v>
                </c:pt>
                <c:pt idx="4">
                  <c:v>28.5</c:v>
                </c:pt>
                <c:pt idx="5">
                  <c:v>34.4</c:v>
                </c:pt>
                <c:pt idx="6">
                  <c:v>34.6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6-4A96-B551-82D072A2DF0A}"/>
            </c:ext>
          </c:extLst>
        </c:ser>
        <c:ser>
          <c:idx val="1"/>
          <c:order val="1"/>
          <c:tx>
            <c:strRef>
              <c:f>'Pivot - Payment Method sheet'!$C$3:$C$4</c:f>
              <c:strCache>
                <c:ptCount val="1"/>
                <c:pt idx="0">
                  <c:v>Credit/Debit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- Payment Method sheet'!$A$5:$A$13</c:f>
              <c:strCache>
                <c:ptCount val="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</c:strCache>
            </c:strRef>
          </c:cat>
          <c:val>
            <c:numRef>
              <c:f>'Pivot - Payment Method sheet'!$C$5:$C$13</c:f>
              <c:numCache>
                <c:formatCode>General</c:formatCode>
                <c:ptCount val="8"/>
                <c:pt idx="0">
                  <c:v>36.299999999999997</c:v>
                </c:pt>
                <c:pt idx="1">
                  <c:v>26.9</c:v>
                </c:pt>
                <c:pt idx="2">
                  <c:v>30.6</c:v>
                </c:pt>
                <c:pt idx="3">
                  <c:v>34.700000000000003</c:v>
                </c:pt>
                <c:pt idx="4">
                  <c:v>40.799999999999997</c:v>
                </c:pt>
                <c:pt idx="5">
                  <c:v>32</c:v>
                </c:pt>
                <c:pt idx="6">
                  <c:v>33.1</c:v>
                </c:pt>
                <c:pt idx="7">
                  <c:v>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6-4A96-B551-82D072A2DF0A}"/>
            </c:ext>
          </c:extLst>
        </c:ser>
        <c:ser>
          <c:idx val="2"/>
          <c:order val="2"/>
          <c:tx>
            <c:strRef>
              <c:f>'Pivot - Payment Method sheet'!$D$3:$D$4</c:f>
              <c:strCache>
                <c:ptCount val="1"/>
                <c:pt idx="0">
                  <c:v>Mobile Payment App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- Payment Method sheet'!$A$5:$A$13</c:f>
              <c:strCache>
                <c:ptCount val="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</c:strCache>
            </c:strRef>
          </c:cat>
          <c:val>
            <c:numRef>
              <c:f>'Pivot - Payment Method sheet'!$D$5:$D$13</c:f>
              <c:numCache>
                <c:formatCode>General</c:formatCode>
                <c:ptCount val="8"/>
                <c:pt idx="0">
                  <c:v>33.1</c:v>
                </c:pt>
                <c:pt idx="1">
                  <c:v>39.799999999999997</c:v>
                </c:pt>
                <c:pt idx="2">
                  <c:v>44.1</c:v>
                </c:pt>
                <c:pt idx="3">
                  <c:v>33.1</c:v>
                </c:pt>
                <c:pt idx="4">
                  <c:v>30.8</c:v>
                </c:pt>
                <c:pt idx="5">
                  <c:v>33.6</c:v>
                </c:pt>
                <c:pt idx="6">
                  <c:v>32.4</c:v>
                </c:pt>
                <c:pt idx="7">
                  <c:v>35.200000000000003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D6-4A96-B551-82D072A2D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7890800"/>
        <c:axId val="477893680"/>
      </c:barChart>
      <c:catAx>
        <c:axId val="47789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93680"/>
        <c:crosses val="autoZero"/>
        <c:auto val="1"/>
        <c:lblAlgn val="ctr"/>
        <c:lblOffset val="100"/>
        <c:noMultiLvlLbl val="0"/>
      </c:catAx>
      <c:valAx>
        <c:axId val="47789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160020</xdr:rowOff>
    </xdr:from>
    <xdr:to>
      <xdr:col>10</xdr:col>
      <xdr:colOff>38100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719D9-3147-4A80-B0CB-6205DAAF7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342900</xdr:colOff>
      <xdr:row>27</xdr:row>
      <xdr:rowOff>0</xdr:rowOff>
    </xdr:from>
    <xdr:to>
      <xdr:col>11</xdr:col>
      <xdr:colOff>0</xdr:colOff>
      <xdr:row>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E8FA5E-BBEA-4D96-AFAA-9DC46E91B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259080</xdr:colOff>
      <xdr:row>50</xdr:row>
      <xdr:rowOff>7620</xdr:rowOff>
    </xdr:from>
    <xdr:to>
      <xdr:col>16</xdr:col>
      <xdr:colOff>7620</xdr:colOff>
      <xdr:row>66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9BB33F-C440-45FA-AE8F-EAF5E6BDF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403860</xdr:colOff>
      <xdr:row>19</xdr:row>
      <xdr:rowOff>160020</xdr:rowOff>
    </xdr:from>
    <xdr:to>
      <xdr:col>8</xdr:col>
      <xdr:colOff>182880</xdr:colOff>
      <xdr:row>24</xdr:row>
      <xdr:rowOff>160020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F0858B-EAFE-4426-B10B-6EFF4603DB4B}"/>
            </a:ext>
          </a:extLst>
        </xdr:cNvPr>
        <xdr:cNvSpPr txBox="1"/>
      </xdr:nvSpPr>
      <xdr:spPr>
        <a:xfrm>
          <a:off x="1623060" y="3741420"/>
          <a:ext cx="343662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200" b="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Freshman and Senior students show the highest average spending across all four categories, with Housing being the largest variable cost across all year groups.</a:t>
          </a:r>
          <a:endParaRPr lang="en-CA" sz="120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449580</xdr:colOff>
      <xdr:row>20</xdr:row>
      <xdr:rowOff>7620</xdr:rowOff>
    </xdr:from>
    <xdr:to>
      <xdr:col>20</xdr:col>
      <xdr:colOff>228600</xdr:colOff>
      <xdr:row>25</xdr:row>
      <xdr:rowOff>7620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B091A-58FE-483F-923F-BC508DCEC02D}"/>
            </a:ext>
          </a:extLst>
        </xdr:cNvPr>
        <xdr:cNvSpPr txBox="1"/>
      </xdr:nvSpPr>
      <xdr:spPr>
        <a:xfrm>
          <a:off x="8983980" y="3771900"/>
          <a:ext cx="343662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200" b="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Several gender and year group combinations show a deficit</a:t>
          </a:r>
          <a:r>
            <a:rPr lang="en-CA" sz="1200" b="0" i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en-CA" sz="1200" b="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meaning their monthly income and financial aid do not fully cover their spending. These groups may be relying on savings or debt.</a:t>
          </a:r>
          <a:endParaRPr lang="en-CA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20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144780</xdr:colOff>
      <xdr:row>43</xdr:row>
      <xdr:rowOff>7620</xdr:rowOff>
    </xdr:from>
    <xdr:to>
      <xdr:col>9</xdr:col>
      <xdr:colOff>19050</xdr:colOff>
      <xdr:row>48</xdr:row>
      <xdr:rowOff>7620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7F31D0C-849A-4EB8-AA67-7542A58D2C1F}"/>
            </a:ext>
          </a:extLst>
        </xdr:cNvPr>
        <xdr:cNvSpPr txBox="1"/>
      </xdr:nvSpPr>
      <xdr:spPr>
        <a:xfrm>
          <a:off x="1973580" y="7978140"/>
          <a:ext cx="353187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200" b="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Tuition is the dominant spending category across all majors. Engineering and Biology students show higher average spending on Technology and Books compared to Psychology and Economics students.</a:t>
          </a:r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274320</xdr:colOff>
      <xdr:row>43</xdr:row>
      <xdr:rowOff>0</xdr:rowOff>
    </xdr:from>
    <xdr:to>
      <xdr:col>20</xdr:col>
      <xdr:colOff>7620</xdr:colOff>
      <xdr:row>48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7FC7D00-CCFD-46E8-8B49-8F793F84C679}"/>
            </a:ext>
          </a:extLst>
        </xdr:cNvPr>
        <xdr:cNvSpPr txBox="1"/>
      </xdr:nvSpPr>
      <xdr:spPr>
        <a:xfrm>
          <a:off x="8199120" y="7970520"/>
          <a:ext cx="40005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200" b="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top 20 overspenders exceed their year group's average spending by 15% or more. Seniors account for the largest share of extreme overspenders, suggesting higher lifestyle costs in final year.</a:t>
          </a:r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586740</xdr:colOff>
      <xdr:row>66</xdr:row>
      <xdr:rowOff>175260</xdr:rowOff>
    </xdr:from>
    <xdr:to>
      <xdr:col>14</xdr:col>
      <xdr:colOff>129540</xdr:colOff>
      <xdr:row>72</xdr:row>
      <xdr:rowOff>68580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579F054-9577-4150-8E50-6ED26E531113}"/>
            </a:ext>
          </a:extLst>
        </xdr:cNvPr>
        <xdr:cNvSpPr txBox="1"/>
      </xdr:nvSpPr>
      <xdr:spPr>
        <a:xfrm>
          <a:off x="4853940" y="12352020"/>
          <a:ext cx="381000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2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Payment method preferences remain relatively consistent across all age groups (18–25), with Mobile Payment Apps peaking at 44% among 20-year-olds. Credit/Debit Card is the dominant method overall, accounting for the largest share across most age groups.</a:t>
          </a:r>
          <a:endParaRPr lang="en-CA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20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579120</xdr:colOff>
      <xdr:row>4</xdr:row>
      <xdr:rowOff>0</xdr:rowOff>
    </xdr:from>
    <xdr:to>
      <xdr:col>22</xdr:col>
      <xdr:colOff>99060</xdr:colOff>
      <xdr:row>19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0242DA4-FBE9-4218-ABEE-37CCA0DBA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27</xdr:row>
      <xdr:rowOff>0</xdr:rowOff>
    </xdr:from>
    <xdr:to>
      <xdr:col>21</xdr:col>
      <xdr:colOff>251460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07B6E5-C3BE-4E5B-B200-44492BADD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0</xdr:row>
      <xdr:rowOff>22860</xdr:rowOff>
    </xdr:from>
    <xdr:to>
      <xdr:col>16</xdr:col>
      <xdr:colOff>586740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9ED55-5E83-B88F-5D4B-8E97506D6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17</xdr:row>
      <xdr:rowOff>163830</xdr:rowOff>
    </xdr:from>
    <xdr:to>
      <xdr:col>15</xdr:col>
      <xdr:colOff>388620</xdr:colOff>
      <xdr:row>22</xdr:row>
      <xdr:rowOff>163830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2994A2-EFCA-E487-B97C-F2EDEB0DF341}"/>
            </a:ext>
          </a:extLst>
        </xdr:cNvPr>
        <xdr:cNvSpPr txBox="1"/>
      </xdr:nvSpPr>
      <xdr:spPr>
        <a:xfrm>
          <a:off x="9243060" y="3272790"/>
          <a:ext cx="343662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200" b="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Freshman and Senior students show the highest average spending across all four categories, with Housing being the largest variable cost across all year groups.</a:t>
          </a:r>
          <a:endParaRPr lang="en-CA" sz="120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6</xdr:col>
      <xdr:colOff>335280</xdr:colOff>
      <xdr:row>17</xdr:row>
      <xdr:rowOff>106680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91054F-3BA7-6142-32B3-934DB1F56BDA}"/>
            </a:ext>
          </a:extLst>
        </xdr:cNvPr>
        <xdr:cNvSpPr txBox="1"/>
      </xdr:nvSpPr>
      <xdr:spPr>
        <a:xfrm>
          <a:off x="71399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224790</xdr:colOff>
      <xdr:row>16</xdr:row>
      <xdr:rowOff>179070</xdr:rowOff>
    </xdr:from>
    <xdr:to>
      <xdr:col>17</xdr:col>
      <xdr:colOff>22860</xdr:colOff>
      <xdr:row>21</xdr:row>
      <xdr:rowOff>179070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ABFC83-559E-C9F6-D2CB-D52584D16831}"/>
            </a:ext>
          </a:extLst>
        </xdr:cNvPr>
        <xdr:cNvSpPr txBox="1"/>
      </xdr:nvSpPr>
      <xdr:spPr>
        <a:xfrm>
          <a:off x="8332470" y="3105150"/>
          <a:ext cx="345567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200" b="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Several gender and year group combinations show a deficit</a:t>
          </a:r>
          <a:r>
            <a:rPr lang="en-CA" sz="1200" b="0" i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en-CA" sz="1200" b="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meaning their monthly income and financial aid do not fully cover their spending. These groups may be relying on savings or debt.</a:t>
          </a:r>
          <a:endParaRPr lang="en-CA" sz="120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571500</xdr:colOff>
      <xdr:row>0</xdr:row>
      <xdr:rowOff>179070</xdr:rowOff>
    </xdr:from>
    <xdr:to>
      <xdr:col>18</xdr:col>
      <xdr:colOff>7620</xdr:colOff>
      <xdr:row>15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100420-1894-3EA7-00C3-6B5EC548E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179070</xdr:rowOff>
    </xdr:from>
    <xdr:to>
      <xdr:col>12</xdr:col>
      <xdr:colOff>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E561D-D8F9-70CD-99E0-92501F529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548639</xdr:colOff>
      <xdr:row>27</xdr:row>
      <xdr:rowOff>112159</xdr:rowOff>
    </xdr:from>
    <xdr:ext cx="45719" cy="4571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6FC10F-6EC4-5482-D889-281639F51323}"/>
            </a:ext>
          </a:extLst>
        </xdr:cNvPr>
        <xdr:cNvSpPr txBox="1"/>
      </xdr:nvSpPr>
      <xdr:spPr>
        <a:xfrm flipH="1" flipV="1">
          <a:off x="8625839" y="5049919"/>
          <a:ext cx="4571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CA" sz="1100"/>
        </a:p>
      </xdr:txBody>
    </xdr:sp>
    <xdr:clientData/>
  </xdr:oneCellAnchor>
  <xdr:twoCellAnchor>
    <xdr:from>
      <xdr:col>6</xdr:col>
      <xdr:colOff>201930</xdr:colOff>
      <xdr:row>23</xdr:row>
      <xdr:rowOff>156210</xdr:rowOff>
    </xdr:from>
    <xdr:to>
      <xdr:col>10</xdr:col>
      <xdr:colOff>0</xdr:colOff>
      <xdr:row>28</xdr:row>
      <xdr:rowOff>156210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24B7824-7AE2-4B72-EE46-276FB6B082BA}"/>
            </a:ext>
          </a:extLst>
        </xdr:cNvPr>
        <xdr:cNvSpPr txBox="1"/>
      </xdr:nvSpPr>
      <xdr:spPr>
        <a:xfrm>
          <a:off x="5764530" y="4362450"/>
          <a:ext cx="353187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200" b="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Tuition is the dominant spending category across all majors. Engineering and Biology students show higher average spending on Technology and Books compared to Psychology and Economics students.</a:t>
          </a:r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7</xdr:col>
      <xdr:colOff>30480</xdr:colOff>
      <xdr:row>19</xdr:row>
      <xdr:rowOff>68580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ABD09B-6B46-5D05-F607-AF455E9859D6}"/>
            </a:ext>
          </a:extLst>
        </xdr:cNvPr>
        <xdr:cNvSpPr txBox="1"/>
      </xdr:nvSpPr>
      <xdr:spPr>
        <a:xfrm>
          <a:off x="7040880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316005</xdr:colOff>
      <xdr:row>18</xdr:row>
      <xdr:rowOff>177799</xdr:rowOff>
    </xdr:from>
    <xdr:to>
      <xdr:col>19</xdr:col>
      <xdr:colOff>605117</xdr:colOff>
      <xdr:row>24</xdr:row>
      <xdr:rowOff>16434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1D7616-FB9B-072B-5BE5-6800FC267360}"/>
            </a:ext>
          </a:extLst>
        </xdr:cNvPr>
        <xdr:cNvSpPr txBox="1"/>
      </xdr:nvSpPr>
      <xdr:spPr>
        <a:xfrm>
          <a:off x="10759887" y="3405093"/>
          <a:ext cx="3964642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200" b="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top 20 overspenders exceed their year group's average spending by 15% or more. Seniors account for the largest share of extreme overspenders, suggesting higher lifestyle costs in final year.</a:t>
          </a:r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7</xdr:col>
      <xdr:colOff>515471</xdr:colOff>
      <xdr:row>10</xdr:row>
      <xdr:rowOff>52294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6EE56E-35DC-320B-D67F-981E5DCBDEAF}"/>
            </a:ext>
          </a:extLst>
        </xdr:cNvPr>
        <xdr:cNvSpPr txBox="1"/>
      </xdr:nvSpPr>
      <xdr:spPr>
        <a:xfrm>
          <a:off x="7283824" y="18452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11</xdr:col>
      <xdr:colOff>601383</xdr:colOff>
      <xdr:row>2</xdr:row>
      <xdr:rowOff>159871</xdr:rowOff>
    </xdr:from>
    <xdr:to>
      <xdr:col>21</xdr:col>
      <xdr:colOff>1</xdr:colOff>
      <xdr:row>18</xdr:row>
      <xdr:rowOff>34365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BBEA70-7EB2-54F9-EADA-12EFE47F5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140970</xdr:rowOff>
    </xdr:from>
    <xdr:to>
      <xdr:col>16</xdr:col>
      <xdr:colOff>53340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BDF23-BB9B-1D8C-9E91-FD2B9F4EE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163830</xdr:rowOff>
    </xdr:from>
    <xdr:to>
      <xdr:col>14</xdr:col>
      <xdr:colOff>152400</xdr:colOff>
      <xdr:row>24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2E2AD8-14AB-7662-CCF2-F2394936EFD6}"/>
            </a:ext>
          </a:extLst>
        </xdr:cNvPr>
        <xdr:cNvSpPr txBox="1"/>
      </xdr:nvSpPr>
      <xdr:spPr>
        <a:xfrm>
          <a:off x="7330440" y="3455670"/>
          <a:ext cx="3810000" cy="1040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200" i="1">
              <a:latin typeface="Times New Roman" panose="02020603050405020304" pitchFamily="18" charset="0"/>
              <a:cs typeface="Times New Roman" panose="02020603050405020304" pitchFamily="18" charset="0"/>
            </a:rPr>
            <a:t>Payment method preferences remain relatively consistent across all age groups (18–25), with Mobile Payment Apps peaking at 44% among 20-year-olds. Credit/Debit Card is the dominant method overall, accounting for the largest share across most age groups.</a:t>
          </a:r>
        </a:p>
      </xdr:txBody>
    </xdr:sp>
    <xdr:clientData/>
  </xdr:twoCellAnchor>
  <xdr:oneCellAnchor>
    <xdr:from>
      <xdr:col>7</xdr:col>
      <xdr:colOff>525780</xdr:colOff>
      <xdr:row>20</xdr:row>
      <xdr:rowOff>121920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39B676-2886-AB98-7E2B-A0B3A2AF4897}"/>
            </a:ext>
          </a:extLst>
        </xdr:cNvPr>
        <xdr:cNvSpPr txBox="1"/>
      </xdr:nvSpPr>
      <xdr:spPr>
        <a:xfrm>
          <a:off x="7246620" y="3779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anmi Otudeko" refreshedDate="46184.779202893522" createdVersion="8" refreshedVersion="8" minRefreshableVersion="3" recordCount="24" xr:uid="{6499EDD7-2597-40B4-8889-8397110AD5D7}">
  <cacheSource type="worksheet">
    <worksheetSource name="q5_payment_by_age"/>
  </cacheSource>
  <cacheFields count="4">
    <cacheField name="Age" numFmtId="0">
      <sharedItems containsSemiMixedTypes="0" containsString="0" containsNumber="1" containsInteger="1" minValue="18" maxValue="25" count="8">
        <n v="18"/>
        <n v="19"/>
        <n v="20"/>
        <n v="21"/>
        <n v="22"/>
        <n v="23"/>
        <n v="24"/>
        <n v="25"/>
      </sharedItems>
    </cacheField>
    <cacheField name="Preferred_payment_method" numFmtId="0">
      <sharedItems count="3">
        <s v="Credit/Debit Card"/>
        <s v="Mobile Payment App"/>
        <s v="Cash"/>
      </sharedItems>
    </cacheField>
    <cacheField name="Student_Count" numFmtId="0">
      <sharedItems containsSemiMixedTypes="0" containsString="0" containsNumber="1" containsInteger="1" minValue="28" maxValue="53"/>
    </cacheField>
    <cacheField name="Pct_Within_Age" numFmtId="0">
      <sharedItems containsSemiMixedTypes="0" containsString="0" containsNumber="1" minValue="25.2" maxValue="44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45"/>
    <n v="36.299999999999997"/>
  </r>
  <r>
    <x v="0"/>
    <x v="1"/>
    <n v="41"/>
    <n v="33.1"/>
  </r>
  <r>
    <x v="0"/>
    <x v="2"/>
    <n v="38"/>
    <n v="30.6"/>
  </r>
  <r>
    <x v="1"/>
    <x v="1"/>
    <n v="43"/>
    <n v="39.799999999999997"/>
  </r>
  <r>
    <x v="1"/>
    <x v="2"/>
    <n v="36"/>
    <n v="33.299999999999997"/>
  </r>
  <r>
    <x v="1"/>
    <x v="0"/>
    <n v="29"/>
    <n v="26.9"/>
  </r>
  <r>
    <x v="2"/>
    <x v="1"/>
    <n v="49"/>
    <n v="44.1"/>
  </r>
  <r>
    <x v="2"/>
    <x v="0"/>
    <n v="34"/>
    <n v="30.6"/>
  </r>
  <r>
    <x v="2"/>
    <x v="2"/>
    <n v="28"/>
    <n v="25.2"/>
  </r>
  <r>
    <x v="3"/>
    <x v="0"/>
    <n v="41"/>
    <n v="34.700000000000003"/>
  </r>
  <r>
    <x v="3"/>
    <x v="1"/>
    <n v="39"/>
    <n v="33.1"/>
  </r>
  <r>
    <x v="3"/>
    <x v="2"/>
    <n v="38"/>
    <n v="32.200000000000003"/>
  </r>
  <r>
    <x v="4"/>
    <x v="0"/>
    <n v="53"/>
    <n v="40.799999999999997"/>
  </r>
  <r>
    <x v="4"/>
    <x v="1"/>
    <n v="40"/>
    <n v="30.8"/>
  </r>
  <r>
    <x v="4"/>
    <x v="2"/>
    <n v="37"/>
    <n v="28.5"/>
  </r>
  <r>
    <x v="5"/>
    <x v="2"/>
    <n v="44"/>
    <n v="34.4"/>
  </r>
  <r>
    <x v="5"/>
    <x v="1"/>
    <n v="43"/>
    <n v="33.6"/>
  </r>
  <r>
    <x v="5"/>
    <x v="0"/>
    <n v="41"/>
    <n v="32"/>
  </r>
  <r>
    <x v="6"/>
    <x v="2"/>
    <n v="47"/>
    <n v="34.6"/>
  </r>
  <r>
    <x v="6"/>
    <x v="0"/>
    <n v="45"/>
    <n v="33.1"/>
  </r>
  <r>
    <x v="6"/>
    <x v="1"/>
    <n v="44"/>
    <n v="32.4"/>
  </r>
  <r>
    <x v="7"/>
    <x v="0"/>
    <n v="52"/>
    <n v="35.9"/>
  </r>
  <r>
    <x v="7"/>
    <x v="1"/>
    <n v="51"/>
    <n v="35.200000000000003"/>
  </r>
  <r>
    <x v="7"/>
    <x v="2"/>
    <n v="42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5A247-D501-4190-A075-6E1CE4FD22D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13" firstHeaderRow="1" firstDataRow="2" firstDataCol="1"/>
  <pivotFields count="4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Pct_Within_Age" fld="3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C12FCE-3BD3-4F0D-ABA0-62789046D4F3}" autoFormatId="16" applyNumberFormats="0" applyBorderFormats="0" applyFontFormats="0" applyPatternFormats="0" applyAlignmentFormats="0" applyWidthHeightFormats="0">
  <queryTableRefresh nextId="7">
    <queryTableFields count="6">
      <queryTableField id="1" name="Year_in_school" tableColumnId="1"/>
      <queryTableField id="2" name="Avg_Food" tableColumnId="2"/>
      <queryTableField id="3" name="Avg_Housing" tableColumnId="3"/>
      <queryTableField id="4" name="Avg_Entertainment" tableColumnId="4"/>
      <queryTableField id="5" name="Avg_Transportation" tableColumnId="5"/>
      <queryTableField id="6" name="Avg_Calculated_Total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BAF2C81-B5C5-4044-8C98-561ADA17E9D8}" autoFormatId="16" applyNumberFormats="0" applyBorderFormats="0" applyFontFormats="0" applyPatternFormats="0" applyAlignmentFormats="0" applyWidthHeightFormats="0">
  <queryTableRefresh nextId="8">
    <queryTableFields count="7">
      <queryTableField id="1" name="Year_in_school" tableColumnId="1"/>
      <queryTableField id="7" dataBound="0" tableColumnId="7"/>
      <queryTableField id="2" name="Gender" tableColumnId="2"/>
      <queryTableField id="3" name="Avg_Income" tableColumnId="3"/>
      <queryTableField id="4" name="Avg_Aid" tableColumnId="4"/>
      <queryTableField id="5" name="Avg_Spending" tableColumnId="5"/>
      <queryTableField id="6" name="Avg_Surplus_Defici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74E7C92-7242-4F97-9CFB-C5E1BE085EAF}" autoFormatId="16" applyNumberFormats="0" applyBorderFormats="0" applyFontFormats="0" applyPatternFormats="0" applyAlignmentFormats="0" applyWidthHeightFormats="0">
  <queryTableRefresh nextId="9">
    <queryTableFields count="8">
      <queryTableField id="1" name="Major" tableColumnId="1"/>
      <queryTableField id="2" name="Avg_Tuition" tableColumnId="2"/>
      <queryTableField id="3" name="Avg_Housing" tableColumnId="3"/>
      <queryTableField id="4" name="Avg_Food" tableColumnId="4"/>
      <queryTableField id="5" name="Avg_Technology" tableColumnId="5"/>
      <queryTableField id="6" name="Avg_Books" tableColumnId="6"/>
      <queryTableField id="7" name="Avg_Calculated_Total" tableColumnId="7"/>
      <queryTableField id="8" name="Student_Count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A55CC30C-A620-4A54-B446-1C251FB11011}" autoFormatId="16" applyNumberFormats="0" applyBorderFormats="0" applyFontFormats="0" applyPatternFormats="0" applyAlignmentFormats="0" applyWidthHeightFormats="0">
  <queryTableRefresh nextId="11" unboundColumnsRight="1">
    <queryTableFields count="8">
      <queryTableField id="1" name="Age" tableColumnId="1"/>
      <queryTableField id="2" name="Gender" tableColumnId="2"/>
      <queryTableField id="3" name="Year_in_school" tableColumnId="3"/>
      <queryTableField id="4" name="Major" tableColumnId="4"/>
      <queryTableField id="5" name="Their_Total" tableColumnId="5"/>
      <queryTableField id="6" name="Year_Avg_Spending" tableColumnId="6"/>
      <queryTableField id="7" name="Overspend_Amount" tableColumnId="7"/>
      <queryTableField id="8" dataBound="0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1CB43436-227E-4D64-8F20-538E1C14ED6B}" autoFormatId="16" applyNumberFormats="0" applyBorderFormats="0" applyFontFormats="0" applyPatternFormats="0" applyAlignmentFormats="0" applyWidthHeightFormats="0">
  <queryTableRefresh nextId="5">
    <queryTableFields count="4">
      <queryTableField id="1" name="Age" tableColumnId="1"/>
      <queryTableField id="2" name="Preferred_payment_method" tableColumnId="2"/>
      <queryTableField id="3" name="Student_Count" tableColumnId="3"/>
      <queryTableField id="4" name="Pct_Within_A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7B9B51-CDC3-4904-9361-A1DE3F456AD3}" name="q1_spending_by_year" displayName="q1_spending_by_year" ref="A1:F5" tableType="queryTable" totalsRowShown="0">
  <autoFilter ref="A1:F5" xr:uid="{327B9B51-CDC3-4904-9361-A1DE3F456AD3}"/>
  <tableColumns count="6">
    <tableColumn id="1" xr3:uid="{155293F7-42FC-4954-9612-C1B64E2019CB}" uniqueName="1" name="Year_in_school" queryTableFieldId="1" dataDxfId="9"/>
    <tableColumn id="2" xr3:uid="{6378BFB3-867A-4221-85AB-C7F57BD0CEE6}" uniqueName="2" name="Avg_Food" queryTableFieldId="2"/>
    <tableColumn id="3" xr3:uid="{BBFF3AC5-9D30-4F37-9292-A7DD80BFE358}" uniqueName="3" name="Avg_Housing" queryTableFieldId="3"/>
    <tableColumn id="4" xr3:uid="{A1A86017-D54F-4ED8-A7AD-D2A2D6FB9A6F}" uniqueName="4" name="Avg_Entertainment" queryTableFieldId="4"/>
    <tableColumn id="5" xr3:uid="{7404D9AB-C935-4DB1-97D2-FF9B4C76DD17}" uniqueName="5" name="Avg_Transportation" queryTableFieldId="5"/>
    <tableColumn id="6" xr3:uid="{D7ACCB2D-94FC-4EEA-9951-090B4404B053}" uniqueName="6" name="Avg_Calculated_Total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5E24AA-232C-4E31-94C6-F6CE5FADB981}" name="q2_income_vs_expense" displayName="q2_income_vs_expense" ref="A1:G13" tableType="queryTable" totalsRowShown="0">
  <autoFilter ref="A1:G13" xr:uid="{0A5E24AA-232C-4E31-94C6-F6CE5FADB981}"/>
  <tableColumns count="7">
    <tableColumn id="1" xr3:uid="{7D6D585B-6911-4E09-A87C-D2B09C686888}" uniqueName="1" name="Year_in_school" queryTableFieldId="1" dataDxfId="8"/>
    <tableColumn id="7" xr3:uid="{6355C6B7-4D10-4114-9C07-6CF742E14A70}" uniqueName="7" name="Year_Gender" queryTableFieldId="7" dataDxfId="7">
      <calculatedColumnFormula>A2&amp;" - "&amp;C2</calculatedColumnFormula>
    </tableColumn>
    <tableColumn id="2" xr3:uid="{81FD5ADF-6236-409E-98DE-F437131628ED}" uniqueName="2" name="Gender" queryTableFieldId="2" dataDxfId="6"/>
    <tableColumn id="3" xr3:uid="{0FCD38F8-D8D2-47E9-94D1-4A335F949825}" uniqueName="3" name="Avg_Income" queryTableFieldId="3"/>
    <tableColumn id="4" xr3:uid="{6E751169-E5D1-40CE-8E11-1114A8F60225}" uniqueName="4" name="Avg_Aid" queryTableFieldId="4"/>
    <tableColumn id="5" xr3:uid="{10B81EC6-54E5-466D-A818-449BC850C2CC}" uniqueName="5" name="Avg_Spending" queryTableFieldId="5"/>
    <tableColumn id="6" xr3:uid="{12B1CECB-0ED4-4E7C-B093-0F00190B22FD}" uniqueName="6" name="Avg_Surplus_Deficit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757667-A2A9-4E70-9248-6FC5BA5120B1}" name="q3_spending_by_major" displayName="q3_spending_by_major" ref="A1:H6" tableType="queryTable" totalsRowShown="0">
  <autoFilter ref="A1:H6" xr:uid="{AC757667-A2A9-4E70-9248-6FC5BA5120B1}"/>
  <tableColumns count="8">
    <tableColumn id="1" xr3:uid="{AE87147E-5EEA-4D8E-BFA0-8FEF025F2B30}" uniqueName="1" name="Major" queryTableFieldId="1" dataDxfId="5"/>
    <tableColumn id="2" xr3:uid="{17A06109-24BD-40FF-BF7D-D6703EC5B53F}" uniqueName="2" name="Avg_Tuition" queryTableFieldId="2"/>
    <tableColumn id="3" xr3:uid="{2002AC2E-EB5D-43AD-886E-FF773787AE86}" uniqueName="3" name="Avg_Housing" queryTableFieldId="3"/>
    <tableColumn id="4" xr3:uid="{D4C75DF3-0993-4308-B7AD-FEA3995BC25C}" uniqueName="4" name="Avg_Food" queryTableFieldId="4"/>
    <tableColumn id="5" xr3:uid="{72F25CFC-DF2D-44FA-AD44-B71BB9CCC68A}" uniqueName="5" name="Avg_Technology" queryTableFieldId="5"/>
    <tableColumn id="6" xr3:uid="{23BCD698-D5EB-4D78-A563-FBFB2F5EB201}" uniqueName="6" name="Avg_Books" queryTableFieldId="6"/>
    <tableColumn id="7" xr3:uid="{81F9920B-E978-4104-BA39-A49EF1229C2D}" uniqueName="7" name="Avg_Calculated_Total" queryTableFieldId="7"/>
    <tableColumn id="8" xr3:uid="{011C052A-8FC2-4430-ACF0-0B85F8887204}" uniqueName="8" name="Student_Count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5D6208-BA34-45EB-8DE4-42C2A0A5656B}" name="q4_overspenders__2" displayName="q4_overspenders__2" ref="A1:H51" tableType="queryTable" totalsRowShown="0">
  <autoFilter ref="A1:H51" xr:uid="{115D6208-BA34-45EB-8DE4-42C2A0A5656B}"/>
  <sortState xmlns:xlrd2="http://schemas.microsoft.com/office/spreadsheetml/2017/richdata2" ref="A2:H51">
    <sortCondition descending="1" ref="G1:G51"/>
  </sortState>
  <tableColumns count="8">
    <tableColumn id="1" xr3:uid="{7F4AC186-78AC-4523-8F16-EF710939A424}" uniqueName="1" name="Age" queryTableFieldId="1"/>
    <tableColumn id="2" xr3:uid="{FCF343A3-0A35-406F-896E-F8519051B0C9}" uniqueName="2" name="Gender" queryTableFieldId="2" dataDxfId="4"/>
    <tableColumn id="3" xr3:uid="{BA52357B-BAFB-4684-BB5A-8D90194711EA}" uniqueName="3" name="Year_in_school" queryTableFieldId="3" dataDxfId="3"/>
    <tableColumn id="4" xr3:uid="{90C84D3B-A637-4DFA-B905-6D761644DBF2}" uniqueName="4" name="Major" queryTableFieldId="4" dataDxfId="2"/>
    <tableColumn id="5" xr3:uid="{B25EC122-66A2-4AED-8F06-0F15A62AFD3C}" uniqueName="5" name="Their_Total" queryTableFieldId="5"/>
    <tableColumn id="6" xr3:uid="{FF5B7728-8AD7-4C50-94D8-3C5C2E794D1E}" uniqueName="6" name="Year_Avg_Spending" queryTableFieldId="6"/>
    <tableColumn id="7" xr3:uid="{635C1C19-6E44-4AE7-B686-851FA40F9D28}" uniqueName="7" name="Overspend_Amount" queryTableFieldId="7"/>
    <tableColumn id="8" xr3:uid="{23C3F129-5A5B-4C4D-9055-891CBEAA8E07}" uniqueName="8" name="Year - Major" queryTableFieldId="8" dataDxfId="1">
      <calculatedColumnFormula>C2&amp;" - "&amp;D2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65BD37-9C3E-4101-AF19-8853344F42E4}" name="q5_payment_by_age" displayName="q5_payment_by_age" ref="A1:D25" tableType="queryTable" totalsRowShown="0">
  <autoFilter ref="A1:D25" xr:uid="{4765BD37-9C3E-4101-AF19-8853344F42E4}"/>
  <tableColumns count="4">
    <tableColumn id="1" xr3:uid="{A69BAF31-4192-4583-A5F7-076EEDC8225B}" uniqueName="1" name="Age" queryTableFieldId="1"/>
    <tableColumn id="2" xr3:uid="{900169F8-EC8B-4943-99A6-A2F39A8BF9C9}" uniqueName="2" name="Preferred_payment_method" queryTableFieldId="2" dataDxfId="0"/>
    <tableColumn id="3" xr3:uid="{D5241631-70D3-4565-81FE-D73C8C02D44A}" uniqueName="3" name="Student_Count" queryTableFieldId="3"/>
    <tableColumn id="4" xr3:uid="{DED5E61D-61C1-4430-8880-424C968CA7FE}" uniqueName="4" name="Pct_Within_Ag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41F9-02EA-4178-BA0B-EF3382ACF4BA}">
  <sheetPr>
    <tabColor rgb="FF002060"/>
  </sheetPr>
  <dimension ref="A1:G2"/>
  <sheetViews>
    <sheetView tabSelected="1" zoomScaleNormal="100" workbookViewId="0">
      <selection activeCell="L9" sqref="L9"/>
    </sheetView>
  </sheetViews>
  <sheetFormatPr defaultRowHeight="14.4" x14ac:dyDescent="0.3"/>
  <sheetData>
    <row r="1" spans="1:7" ht="22.8" x14ac:dyDescent="0.4">
      <c r="A1" s="3" t="s">
        <v>41</v>
      </c>
      <c r="G1" s="5"/>
    </row>
    <row r="2" spans="1:7" x14ac:dyDescent="0.3">
      <c r="A2" s="4" t="s">
        <v>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07BE-75D8-46C3-B81A-D5844ADED1B5}">
  <dimension ref="A1:F5"/>
  <sheetViews>
    <sheetView workbookViewId="0">
      <selection activeCell="Q25" sqref="Q25"/>
    </sheetView>
  </sheetViews>
  <sheetFormatPr defaultRowHeight="14.4" x14ac:dyDescent="0.3"/>
  <cols>
    <col min="1" max="1" width="15.5546875" bestFit="1" customWidth="1"/>
    <col min="2" max="2" width="11" bestFit="1" customWidth="1"/>
    <col min="3" max="3" width="13.5546875" bestFit="1" customWidth="1"/>
    <col min="4" max="4" width="18.88671875" bestFit="1" customWidth="1"/>
    <col min="5" max="5" width="19.109375" bestFit="1" customWidth="1"/>
    <col min="6" max="6" width="21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247.55</v>
      </c>
      <c r="C2">
        <v>705.29</v>
      </c>
      <c r="D2">
        <v>84.96</v>
      </c>
      <c r="E2">
        <v>121.75</v>
      </c>
      <c r="F2">
        <v>6377.25</v>
      </c>
    </row>
    <row r="3" spans="1:6" x14ac:dyDescent="0.3">
      <c r="A3" t="s">
        <v>7</v>
      </c>
      <c r="B3">
        <v>253.72</v>
      </c>
      <c r="C3">
        <v>703.21</v>
      </c>
      <c r="D3">
        <v>86.13</v>
      </c>
      <c r="E3">
        <v>124.78</v>
      </c>
      <c r="F3">
        <v>6319.41</v>
      </c>
    </row>
    <row r="4" spans="1:6" x14ac:dyDescent="0.3">
      <c r="A4" t="s">
        <v>8</v>
      </c>
      <c r="B4">
        <v>251.83</v>
      </c>
      <c r="C4">
        <v>665.9</v>
      </c>
      <c r="D4">
        <v>85.06</v>
      </c>
      <c r="E4">
        <v>127.31</v>
      </c>
      <c r="F4">
        <v>6293.14</v>
      </c>
    </row>
    <row r="5" spans="1:6" x14ac:dyDescent="0.3">
      <c r="A5" t="s">
        <v>9</v>
      </c>
      <c r="B5">
        <v>257.3</v>
      </c>
      <c r="C5">
        <v>708.96</v>
      </c>
      <c r="D5">
        <v>83.13</v>
      </c>
      <c r="E5">
        <v>124.71</v>
      </c>
      <c r="F5">
        <v>6273.13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CC4C-A629-4B88-87FA-EB54E82C18E5}">
  <dimension ref="A1:G13"/>
  <sheetViews>
    <sheetView workbookViewId="0">
      <selection activeCell="T12" sqref="T12"/>
    </sheetView>
  </sheetViews>
  <sheetFormatPr defaultRowHeight="14.4" x14ac:dyDescent="0.3"/>
  <cols>
    <col min="1" max="1" width="15.5546875" bestFit="1" customWidth="1"/>
    <col min="2" max="2" width="15.5546875" customWidth="1"/>
    <col min="3" max="3" width="9.88671875" bestFit="1" customWidth="1"/>
    <col min="4" max="4" width="13.109375" bestFit="1" customWidth="1"/>
    <col min="5" max="5" width="9.6640625" bestFit="1" customWidth="1"/>
    <col min="6" max="6" width="14.6640625" bestFit="1" customWidth="1"/>
    <col min="7" max="7" width="19.77734375" bestFit="1" customWidth="1"/>
  </cols>
  <sheetData>
    <row r="1" spans="1:7" x14ac:dyDescent="0.3">
      <c r="A1" t="s">
        <v>0</v>
      </c>
      <c r="B1" t="s">
        <v>42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">
      <c r="A2" t="s">
        <v>6</v>
      </c>
      <c r="B2" t="str">
        <f t="shared" ref="B2:B13" si="0">A2&amp;" - "&amp;C2</f>
        <v>Junior - Male</v>
      </c>
      <c r="C2" t="s">
        <v>15</v>
      </c>
      <c r="D2">
        <v>961.37</v>
      </c>
      <c r="E2">
        <v>513.65</v>
      </c>
      <c r="F2">
        <v>6536.05</v>
      </c>
      <c r="G2">
        <v>-5061.0200000000004</v>
      </c>
    </row>
    <row r="3" spans="1:7" x14ac:dyDescent="0.3">
      <c r="A3" t="s">
        <v>9</v>
      </c>
      <c r="B3" t="str">
        <f t="shared" si="0"/>
        <v>Senior - Non-binary</v>
      </c>
      <c r="C3" t="s">
        <v>16</v>
      </c>
      <c r="D3">
        <v>1085.5999999999999</v>
      </c>
      <c r="E3">
        <v>447.16</v>
      </c>
      <c r="F3">
        <v>6395.73</v>
      </c>
      <c r="G3">
        <v>-4862.97</v>
      </c>
    </row>
    <row r="4" spans="1:7" x14ac:dyDescent="0.3">
      <c r="A4" t="s">
        <v>8</v>
      </c>
      <c r="B4" t="str">
        <f t="shared" si="0"/>
        <v>Sophomore - Male</v>
      </c>
      <c r="C4" t="s">
        <v>15</v>
      </c>
      <c r="D4">
        <v>1009.73</v>
      </c>
      <c r="E4">
        <v>514.48</v>
      </c>
      <c r="F4">
        <v>6378.98</v>
      </c>
      <c r="G4">
        <v>-4854.7700000000004</v>
      </c>
    </row>
    <row r="5" spans="1:7" x14ac:dyDescent="0.3">
      <c r="A5" t="s">
        <v>6</v>
      </c>
      <c r="B5" t="str">
        <f t="shared" si="0"/>
        <v>Junior - Non-binary</v>
      </c>
      <c r="C5" t="s">
        <v>16</v>
      </c>
      <c r="D5">
        <v>1005.37</v>
      </c>
      <c r="E5">
        <v>520.87</v>
      </c>
      <c r="F5">
        <v>6351.78</v>
      </c>
      <c r="G5">
        <v>-4825.54</v>
      </c>
    </row>
    <row r="6" spans="1:7" x14ac:dyDescent="0.3">
      <c r="A6" t="s">
        <v>7</v>
      </c>
      <c r="B6" t="str">
        <f t="shared" si="0"/>
        <v>Freshman - Female</v>
      </c>
      <c r="C6" t="s">
        <v>17</v>
      </c>
      <c r="D6">
        <v>1062.6300000000001</v>
      </c>
      <c r="E6">
        <v>511.5</v>
      </c>
      <c r="F6">
        <v>6373.4</v>
      </c>
      <c r="G6">
        <v>-4799.2700000000004</v>
      </c>
    </row>
    <row r="7" spans="1:7" x14ac:dyDescent="0.3">
      <c r="A7" t="s">
        <v>8</v>
      </c>
      <c r="B7" t="str">
        <f t="shared" si="0"/>
        <v>Sophomore - Female</v>
      </c>
      <c r="C7" t="s">
        <v>17</v>
      </c>
      <c r="D7">
        <v>1007.89</v>
      </c>
      <c r="E7">
        <v>469.28</v>
      </c>
      <c r="F7">
        <v>6254.25</v>
      </c>
      <c r="G7">
        <v>-4777.08</v>
      </c>
    </row>
    <row r="8" spans="1:7" x14ac:dyDescent="0.3">
      <c r="A8" t="s">
        <v>7</v>
      </c>
      <c r="B8" t="str">
        <f t="shared" si="0"/>
        <v>Freshman - Non-binary</v>
      </c>
      <c r="C8" t="s">
        <v>16</v>
      </c>
      <c r="D8">
        <v>1055.05</v>
      </c>
      <c r="E8">
        <v>501.73</v>
      </c>
      <c r="F8">
        <v>6321.89</v>
      </c>
      <c r="G8">
        <v>-4765.12</v>
      </c>
    </row>
    <row r="9" spans="1:7" x14ac:dyDescent="0.3">
      <c r="A9" t="s">
        <v>8</v>
      </c>
      <c r="B9" t="str">
        <f t="shared" si="0"/>
        <v>Sophomore - Non-binary</v>
      </c>
      <c r="C9" t="s">
        <v>16</v>
      </c>
      <c r="D9">
        <v>976.51</v>
      </c>
      <c r="E9">
        <v>487.17</v>
      </c>
      <c r="F9">
        <v>6226.22</v>
      </c>
      <c r="G9">
        <v>-4762.55</v>
      </c>
    </row>
    <row r="10" spans="1:7" x14ac:dyDescent="0.3">
      <c r="A10" t="s">
        <v>9</v>
      </c>
      <c r="B10" t="str">
        <f t="shared" si="0"/>
        <v>Senior - Female</v>
      </c>
      <c r="C10" t="s">
        <v>17</v>
      </c>
      <c r="D10">
        <v>989.4</v>
      </c>
      <c r="E10">
        <v>508.61</v>
      </c>
      <c r="F10">
        <v>6244.01</v>
      </c>
      <c r="G10">
        <v>-4746</v>
      </c>
    </row>
    <row r="11" spans="1:7" x14ac:dyDescent="0.3">
      <c r="A11" t="s">
        <v>7</v>
      </c>
      <c r="B11" t="str">
        <f t="shared" si="0"/>
        <v>Freshman - Male</v>
      </c>
      <c r="C11" t="s">
        <v>15</v>
      </c>
      <c r="D11">
        <v>1054.25</v>
      </c>
      <c r="E11">
        <v>500.53</v>
      </c>
      <c r="F11">
        <v>6270.85</v>
      </c>
      <c r="G11">
        <v>-4716.07</v>
      </c>
    </row>
    <row r="12" spans="1:7" x14ac:dyDescent="0.3">
      <c r="A12" t="s">
        <v>6</v>
      </c>
      <c r="B12" t="str">
        <f t="shared" si="0"/>
        <v>Junior - Female</v>
      </c>
      <c r="C12" t="s">
        <v>17</v>
      </c>
      <c r="D12">
        <v>1039.8</v>
      </c>
      <c r="E12">
        <v>521.86</v>
      </c>
      <c r="F12">
        <v>6247.75</v>
      </c>
      <c r="G12">
        <v>-4686.1000000000004</v>
      </c>
    </row>
    <row r="13" spans="1:7" x14ac:dyDescent="0.3">
      <c r="A13" t="s">
        <v>9</v>
      </c>
      <c r="B13" t="str">
        <f t="shared" si="0"/>
        <v>Senior - Male</v>
      </c>
      <c r="C13" t="s">
        <v>15</v>
      </c>
      <c r="D13">
        <v>1002.41</v>
      </c>
      <c r="E13">
        <v>547.55999999999995</v>
      </c>
      <c r="F13">
        <v>6196.38</v>
      </c>
      <c r="G13">
        <v>-4646.41</v>
      </c>
    </row>
  </sheetData>
  <conditionalFormatting sqref="G1:G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B906-6C24-4F18-A8C0-AFF25832C080}">
  <dimension ref="A1:H6"/>
  <sheetViews>
    <sheetView workbookViewId="0">
      <selection activeCell="K30" sqref="K30"/>
    </sheetView>
  </sheetViews>
  <sheetFormatPr defaultRowHeight="14.4" x14ac:dyDescent="0.3"/>
  <cols>
    <col min="1" max="1" width="15.88671875" bestFit="1" customWidth="1"/>
    <col min="2" max="2" width="12.5546875" bestFit="1" customWidth="1"/>
    <col min="3" max="3" width="13.5546875" bestFit="1" customWidth="1"/>
    <col min="4" max="4" width="11" bestFit="1" customWidth="1"/>
    <col min="5" max="5" width="16.21875" bestFit="1" customWidth="1"/>
    <col min="6" max="6" width="11.88671875" bestFit="1" customWidth="1"/>
    <col min="7" max="7" width="21.109375" bestFit="1" customWidth="1"/>
    <col min="8" max="8" width="15.5546875" bestFit="1" customWidth="1"/>
  </cols>
  <sheetData>
    <row r="1" spans="1:8" x14ac:dyDescent="0.3">
      <c r="A1" t="s">
        <v>18</v>
      </c>
      <c r="B1" t="s">
        <v>19</v>
      </c>
      <c r="C1" t="s">
        <v>2</v>
      </c>
      <c r="D1" t="s">
        <v>1</v>
      </c>
      <c r="E1" t="s">
        <v>20</v>
      </c>
      <c r="F1" t="s">
        <v>21</v>
      </c>
      <c r="G1" t="s">
        <v>5</v>
      </c>
      <c r="H1" t="s">
        <v>22</v>
      </c>
    </row>
    <row r="2" spans="1:8" x14ac:dyDescent="0.3">
      <c r="A2" t="s">
        <v>23</v>
      </c>
      <c r="B2">
        <v>4661.63</v>
      </c>
      <c r="C2">
        <v>692.73</v>
      </c>
      <c r="D2">
        <v>254.16</v>
      </c>
      <c r="E2">
        <v>176.29</v>
      </c>
      <c r="F2">
        <v>171.13</v>
      </c>
      <c r="G2">
        <v>6455.22</v>
      </c>
      <c r="H2">
        <v>184</v>
      </c>
    </row>
    <row r="3" spans="1:8" x14ac:dyDescent="0.3">
      <c r="A3" t="s">
        <v>24</v>
      </c>
      <c r="B3">
        <v>4553.99</v>
      </c>
      <c r="C3">
        <v>717.49</v>
      </c>
      <c r="D3">
        <v>245.36</v>
      </c>
      <c r="E3">
        <v>175.99</v>
      </c>
      <c r="F3">
        <v>175.1</v>
      </c>
      <c r="G3">
        <v>6363.39</v>
      </c>
      <c r="H3">
        <v>192</v>
      </c>
    </row>
    <row r="4" spans="1:8" x14ac:dyDescent="0.3">
      <c r="A4" t="s">
        <v>25</v>
      </c>
      <c r="B4">
        <v>4504.96</v>
      </c>
      <c r="C4">
        <v>674.31</v>
      </c>
      <c r="D4">
        <v>258.26</v>
      </c>
      <c r="E4">
        <v>178.07</v>
      </c>
      <c r="F4">
        <v>173.35</v>
      </c>
      <c r="G4">
        <v>6270.8</v>
      </c>
      <c r="H4">
        <v>204</v>
      </c>
    </row>
    <row r="5" spans="1:8" x14ac:dyDescent="0.3">
      <c r="A5" t="s">
        <v>26</v>
      </c>
      <c r="B5">
        <v>4457.04</v>
      </c>
      <c r="C5">
        <v>699.58</v>
      </c>
      <c r="D5">
        <v>251.48</v>
      </c>
      <c r="E5">
        <v>182.44</v>
      </c>
      <c r="F5">
        <v>177.34</v>
      </c>
      <c r="G5">
        <v>6270.69</v>
      </c>
      <c r="H5">
        <v>228</v>
      </c>
    </row>
    <row r="6" spans="1:8" x14ac:dyDescent="0.3">
      <c r="A6" t="s">
        <v>27</v>
      </c>
      <c r="B6">
        <v>4443.1000000000004</v>
      </c>
      <c r="C6">
        <v>696.46</v>
      </c>
      <c r="D6">
        <v>253.87</v>
      </c>
      <c r="E6">
        <v>177.88</v>
      </c>
      <c r="F6">
        <v>176.34</v>
      </c>
      <c r="G6">
        <v>6234.3</v>
      </c>
      <c r="H6">
        <v>192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70C1-1A6D-4C7E-82DA-3EF5AB6DB2A4}">
  <dimension ref="A1:H51"/>
  <sheetViews>
    <sheetView topLeftCell="D1" zoomScale="102" zoomScaleNormal="102" workbookViewId="0">
      <selection activeCell="V22" sqref="V22"/>
    </sheetView>
  </sheetViews>
  <sheetFormatPr defaultRowHeight="14.4" x14ac:dyDescent="0.3"/>
  <cols>
    <col min="1" max="1" width="6.21875" bestFit="1" customWidth="1"/>
    <col min="2" max="2" width="9.88671875" bestFit="1" customWidth="1"/>
    <col min="3" max="3" width="15.5546875" bestFit="1" customWidth="1"/>
    <col min="4" max="4" width="15.88671875" bestFit="1" customWidth="1"/>
    <col min="5" max="5" width="12.21875" bestFit="1" customWidth="1"/>
    <col min="6" max="6" width="19.21875" bestFit="1" customWidth="1"/>
    <col min="7" max="7" width="19.6640625" bestFit="1" customWidth="1"/>
  </cols>
  <sheetData>
    <row r="1" spans="1:8" x14ac:dyDescent="0.3">
      <c r="A1" t="s">
        <v>28</v>
      </c>
      <c r="B1" t="s">
        <v>10</v>
      </c>
      <c r="C1" t="s">
        <v>0</v>
      </c>
      <c r="D1" t="s">
        <v>18</v>
      </c>
      <c r="E1" t="s">
        <v>29</v>
      </c>
      <c r="F1" t="s">
        <v>30</v>
      </c>
      <c r="G1" t="s">
        <v>31</v>
      </c>
      <c r="H1" t="s">
        <v>44</v>
      </c>
    </row>
    <row r="2" spans="1:8" x14ac:dyDescent="0.3">
      <c r="A2">
        <v>23</v>
      </c>
      <c r="B2" t="s">
        <v>15</v>
      </c>
      <c r="C2" t="s">
        <v>9</v>
      </c>
      <c r="D2" t="s">
        <v>27</v>
      </c>
      <c r="E2">
        <v>8266</v>
      </c>
      <c r="F2">
        <v>6273.13</v>
      </c>
      <c r="G2">
        <v>1992.87</v>
      </c>
      <c r="H2" t="str">
        <f t="shared" ref="H2:H33" si="0">C2&amp;" - "&amp;D2</f>
        <v>Senior - Engineering</v>
      </c>
    </row>
    <row r="3" spans="1:8" x14ac:dyDescent="0.3">
      <c r="A3">
        <v>21</v>
      </c>
      <c r="B3" t="s">
        <v>16</v>
      </c>
      <c r="C3" t="s">
        <v>6</v>
      </c>
      <c r="D3" t="s">
        <v>24</v>
      </c>
      <c r="E3">
        <v>8242</v>
      </c>
      <c r="F3">
        <v>6377.25</v>
      </c>
      <c r="G3">
        <v>1864.75</v>
      </c>
      <c r="H3" t="str">
        <f t="shared" si="0"/>
        <v>Junior - Computer Science</v>
      </c>
    </row>
    <row r="4" spans="1:8" x14ac:dyDescent="0.3">
      <c r="A4">
        <v>24</v>
      </c>
      <c r="B4" t="s">
        <v>17</v>
      </c>
      <c r="C4" t="s">
        <v>7</v>
      </c>
      <c r="D4" t="s">
        <v>23</v>
      </c>
      <c r="E4">
        <v>8105</v>
      </c>
      <c r="F4">
        <v>6319.41</v>
      </c>
      <c r="G4">
        <v>1785.59</v>
      </c>
      <c r="H4" t="str">
        <f t="shared" si="0"/>
        <v>Freshman - Psychology</v>
      </c>
    </row>
    <row r="5" spans="1:8" x14ac:dyDescent="0.3">
      <c r="A5">
        <v>21</v>
      </c>
      <c r="B5" t="s">
        <v>16</v>
      </c>
      <c r="C5" t="s">
        <v>8</v>
      </c>
      <c r="D5" t="s">
        <v>23</v>
      </c>
      <c r="E5">
        <v>8056</v>
      </c>
      <c r="F5">
        <v>6293.14</v>
      </c>
      <c r="G5">
        <v>1762.86</v>
      </c>
      <c r="H5" t="str">
        <f t="shared" si="0"/>
        <v>Sophomore - Psychology</v>
      </c>
    </row>
    <row r="6" spans="1:8" x14ac:dyDescent="0.3">
      <c r="A6">
        <v>19</v>
      </c>
      <c r="B6" t="s">
        <v>15</v>
      </c>
      <c r="C6" t="s">
        <v>9</v>
      </c>
      <c r="D6" t="s">
        <v>24</v>
      </c>
      <c r="E6">
        <v>8023</v>
      </c>
      <c r="F6">
        <v>6273.13</v>
      </c>
      <c r="G6">
        <v>1749.87</v>
      </c>
      <c r="H6" t="str">
        <f t="shared" si="0"/>
        <v>Senior - Computer Science</v>
      </c>
    </row>
    <row r="7" spans="1:8" x14ac:dyDescent="0.3">
      <c r="A7">
        <v>19</v>
      </c>
      <c r="B7" t="s">
        <v>15</v>
      </c>
      <c r="C7" t="s">
        <v>7</v>
      </c>
      <c r="D7" t="s">
        <v>27</v>
      </c>
      <c r="E7">
        <v>8063</v>
      </c>
      <c r="F7">
        <v>6319.41</v>
      </c>
      <c r="G7">
        <v>1743.59</v>
      </c>
      <c r="H7" t="str">
        <f t="shared" si="0"/>
        <v>Freshman - Engineering</v>
      </c>
    </row>
    <row r="8" spans="1:8" x14ac:dyDescent="0.3">
      <c r="A8">
        <v>21</v>
      </c>
      <c r="B8" t="s">
        <v>17</v>
      </c>
      <c r="C8" t="s">
        <v>9</v>
      </c>
      <c r="D8" t="s">
        <v>27</v>
      </c>
      <c r="E8">
        <v>8014</v>
      </c>
      <c r="F8">
        <v>6273.13</v>
      </c>
      <c r="G8">
        <v>1740.87</v>
      </c>
      <c r="H8" t="str">
        <f t="shared" si="0"/>
        <v>Senior - Engineering</v>
      </c>
    </row>
    <row r="9" spans="1:8" x14ac:dyDescent="0.3">
      <c r="A9">
        <v>19</v>
      </c>
      <c r="B9" t="s">
        <v>15</v>
      </c>
      <c r="C9" t="s">
        <v>7</v>
      </c>
      <c r="D9" t="s">
        <v>26</v>
      </c>
      <c r="E9">
        <v>8057</v>
      </c>
      <c r="F9">
        <v>6319.41</v>
      </c>
      <c r="G9">
        <v>1737.59</v>
      </c>
      <c r="H9" t="str">
        <f t="shared" si="0"/>
        <v>Freshman - Biology</v>
      </c>
    </row>
    <row r="10" spans="1:8" x14ac:dyDescent="0.3">
      <c r="A10">
        <v>21</v>
      </c>
      <c r="B10" t="s">
        <v>16</v>
      </c>
      <c r="C10" t="s">
        <v>6</v>
      </c>
      <c r="D10" t="s">
        <v>26</v>
      </c>
      <c r="E10">
        <v>8112</v>
      </c>
      <c r="F10">
        <v>6377.25</v>
      </c>
      <c r="G10">
        <v>1734.75</v>
      </c>
      <c r="H10" t="str">
        <f t="shared" si="0"/>
        <v>Junior - Biology</v>
      </c>
    </row>
    <row r="11" spans="1:8" x14ac:dyDescent="0.3">
      <c r="A11">
        <v>19</v>
      </c>
      <c r="B11" t="s">
        <v>16</v>
      </c>
      <c r="C11" t="s">
        <v>9</v>
      </c>
      <c r="D11" t="s">
        <v>24</v>
      </c>
      <c r="E11">
        <v>7985</v>
      </c>
      <c r="F11">
        <v>6273.13</v>
      </c>
      <c r="G11">
        <v>1711.87</v>
      </c>
      <c r="H11" t="str">
        <f t="shared" si="0"/>
        <v>Senior - Computer Science</v>
      </c>
    </row>
    <row r="12" spans="1:8" x14ac:dyDescent="0.3">
      <c r="A12">
        <v>25</v>
      </c>
      <c r="B12" t="s">
        <v>15</v>
      </c>
      <c r="C12" t="s">
        <v>9</v>
      </c>
      <c r="D12" t="s">
        <v>26</v>
      </c>
      <c r="E12">
        <v>7960</v>
      </c>
      <c r="F12">
        <v>6273.13</v>
      </c>
      <c r="G12">
        <v>1686.87</v>
      </c>
      <c r="H12" t="str">
        <f t="shared" si="0"/>
        <v>Senior - Biology</v>
      </c>
    </row>
    <row r="13" spans="1:8" x14ac:dyDescent="0.3">
      <c r="A13">
        <v>24</v>
      </c>
      <c r="B13" t="s">
        <v>15</v>
      </c>
      <c r="C13" t="s">
        <v>8</v>
      </c>
      <c r="D13" t="s">
        <v>24</v>
      </c>
      <c r="E13">
        <v>7970</v>
      </c>
      <c r="F13">
        <v>6293.14</v>
      </c>
      <c r="G13">
        <v>1676.86</v>
      </c>
      <c r="H13" t="str">
        <f t="shared" si="0"/>
        <v>Sophomore - Computer Science</v>
      </c>
    </row>
    <row r="14" spans="1:8" x14ac:dyDescent="0.3">
      <c r="A14">
        <v>22</v>
      </c>
      <c r="B14" t="s">
        <v>16</v>
      </c>
      <c r="C14" t="s">
        <v>9</v>
      </c>
      <c r="D14" t="s">
        <v>24</v>
      </c>
      <c r="E14">
        <v>7947</v>
      </c>
      <c r="F14">
        <v>6273.13</v>
      </c>
      <c r="G14">
        <v>1673.87</v>
      </c>
      <c r="H14" t="str">
        <f t="shared" si="0"/>
        <v>Senior - Computer Science</v>
      </c>
    </row>
    <row r="15" spans="1:8" x14ac:dyDescent="0.3">
      <c r="A15">
        <v>21</v>
      </c>
      <c r="B15" t="s">
        <v>15</v>
      </c>
      <c r="C15" t="s">
        <v>9</v>
      </c>
      <c r="D15" t="s">
        <v>23</v>
      </c>
      <c r="E15">
        <v>7929</v>
      </c>
      <c r="F15">
        <v>6273.13</v>
      </c>
      <c r="G15">
        <v>1655.87</v>
      </c>
      <c r="H15" t="str">
        <f t="shared" si="0"/>
        <v>Senior - Psychology</v>
      </c>
    </row>
    <row r="16" spans="1:8" x14ac:dyDescent="0.3">
      <c r="A16">
        <v>24</v>
      </c>
      <c r="B16" t="s">
        <v>16</v>
      </c>
      <c r="C16" t="s">
        <v>8</v>
      </c>
      <c r="D16" t="s">
        <v>24</v>
      </c>
      <c r="E16">
        <v>7946</v>
      </c>
      <c r="F16">
        <v>6293.14</v>
      </c>
      <c r="G16">
        <v>1652.86</v>
      </c>
      <c r="H16" t="str">
        <f t="shared" si="0"/>
        <v>Sophomore - Computer Science</v>
      </c>
    </row>
    <row r="17" spans="1:8" x14ac:dyDescent="0.3">
      <c r="A17">
        <v>24</v>
      </c>
      <c r="B17" t="s">
        <v>15</v>
      </c>
      <c r="C17" t="s">
        <v>8</v>
      </c>
      <c r="D17" t="s">
        <v>24</v>
      </c>
      <c r="E17">
        <v>7940</v>
      </c>
      <c r="F17">
        <v>6293.14</v>
      </c>
      <c r="G17">
        <v>1646.86</v>
      </c>
      <c r="H17" t="str">
        <f t="shared" si="0"/>
        <v>Sophomore - Computer Science</v>
      </c>
    </row>
    <row r="18" spans="1:8" x14ac:dyDescent="0.3">
      <c r="A18">
        <v>23</v>
      </c>
      <c r="B18" t="s">
        <v>17</v>
      </c>
      <c r="C18" t="s">
        <v>9</v>
      </c>
      <c r="D18" t="s">
        <v>25</v>
      </c>
      <c r="E18">
        <v>7919</v>
      </c>
      <c r="F18">
        <v>6273.13</v>
      </c>
      <c r="G18">
        <v>1645.87</v>
      </c>
      <c r="H18" t="str">
        <f t="shared" si="0"/>
        <v>Senior - Economics</v>
      </c>
    </row>
    <row r="19" spans="1:8" x14ac:dyDescent="0.3">
      <c r="A19">
        <v>25</v>
      </c>
      <c r="B19" t="s">
        <v>15</v>
      </c>
      <c r="C19" t="s">
        <v>7</v>
      </c>
      <c r="D19" t="s">
        <v>24</v>
      </c>
      <c r="E19">
        <v>7959</v>
      </c>
      <c r="F19">
        <v>6319.41</v>
      </c>
      <c r="G19">
        <v>1639.59</v>
      </c>
      <c r="H19" t="str">
        <f t="shared" si="0"/>
        <v>Freshman - Computer Science</v>
      </c>
    </row>
    <row r="20" spans="1:8" x14ac:dyDescent="0.3">
      <c r="A20">
        <v>21</v>
      </c>
      <c r="B20" t="s">
        <v>17</v>
      </c>
      <c r="C20" t="s">
        <v>6</v>
      </c>
      <c r="D20" t="s">
        <v>26</v>
      </c>
      <c r="E20">
        <v>8012</v>
      </c>
      <c r="F20">
        <v>6377.25</v>
      </c>
      <c r="G20">
        <v>1634.75</v>
      </c>
      <c r="H20" t="str">
        <f t="shared" si="0"/>
        <v>Junior - Biology</v>
      </c>
    </row>
    <row r="21" spans="1:8" x14ac:dyDescent="0.3">
      <c r="A21">
        <v>19</v>
      </c>
      <c r="B21" t="s">
        <v>17</v>
      </c>
      <c r="C21" t="s">
        <v>6</v>
      </c>
      <c r="D21" t="s">
        <v>27</v>
      </c>
      <c r="E21">
        <v>8000</v>
      </c>
      <c r="F21">
        <v>6377.25</v>
      </c>
      <c r="G21">
        <v>1622.75</v>
      </c>
      <c r="H21" t="str">
        <f t="shared" si="0"/>
        <v>Junior - Engineering</v>
      </c>
    </row>
    <row r="22" spans="1:8" x14ac:dyDescent="0.3">
      <c r="A22">
        <v>22</v>
      </c>
      <c r="B22" t="s">
        <v>17</v>
      </c>
      <c r="C22" t="s">
        <v>7</v>
      </c>
      <c r="D22" t="s">
        <v>26</v>
      </c>
      <c r="E22">
        <v>7933</v>
      </c>
      <c r="F22">
        <v>6319.41</v>
      </c>
      <c r="G22">
        <v>1613.59</v>
      </c>
      <c r="H22" t="str">
        <f t="shared" si="0"/>
        <v>Freshman - Biology</v>
      </c>
    </row>
    <row r="23" spans="1:8" x14ac:dyDescent="0.3">
      <c r="A23">
        <v>18</v>
      </c>
      <c r="B23" t="s">
        <v>16</v>
      </c>
      <c r="C23" t="s">
        <v>9</v>
      </c>
      <c r="D23" t="s">
        <v>27</v>
      </c>
      <c r="E23">
        <v>7881</v>
      </c>
      <c r="F23">
        <v>6273.13</v>
      </c>
      <c r="G23">
        <v>1607.87</v>
      </c>
      <c r="H23" t="str">
        <f t="shared" si="0"/>
        <v>Senior - Engineering</v>
      </c>
    </row>
    <row r="24" spans="1:8" x14ac:dyDescent="0.3">
      <c r="A24">
        <v>24</v>
      </c>
      <c r="B24" t="s">
        <v>17</v>
      </c>
      <c r="C24" t="s">
        <v>7</v>
      </c>
      <c r="D24" t="s">
        <v>25</v>
      </c>
      <c r="E24">
        <v>7926</v>
      </c>
      <c r="F24">
        <v>6319.41</v>
      </c>
      <c r="G24">
        <v>1606.59</v>
      </c>
      <c r="H24" t="str">
        <f t="shared" si="0"/>
        <v>Freshman - Economics</v>
      </c>
    </row>
    <row r="25" spans="1:8" x14ac:dyDescent="0.3">
      <c r="A25">
        <v>19</v>
      </c>
      <c r="B25" t="s">
        <v>17</v>
      </c>
      <c r="C25" t="s">
        <v>9</v>
      </c>
      <c r="D25" t="s">
        <v>26</v>
      </c>
      <c r="E25">
        <v>7879</v>
      </c>
      <c r="F25">
        <v>6273.13</v>
      </c>
      <c r="G25">
        <v>1605.87</v>
      </c>
      <c r="H25" t="str">
        <f t="shared" si="0"/>
        <v>Senior - Biology</v>
      </c>
    </row>
    <row r="26" spans="1:8" x14ac:dyDescent="0.3">
      <c r="A26">
        <v>19</v>
      </c>
      <c r="B26" t="s">
        <v>16</v>
      </c>
      <c r="C26" t="s">
        <v>6</v>
      </c>
      <c r="D26" t="s">
        <v>24</v>
      </c>
      <c r="E26">
        <v>7971</v>
      </c>
      <c r="F26">
        <v>6377.25</v>
      </c>
      <c r="G26">
        <v>1593.75</v>
      </c>
      <c r="H26" t="str">
        <f t="shared" si="0"/>
        <v>Junior - Computer Science</v>
      </c>
    </row>
    <row r="27" spans="1:8" x14ac:dyDescent="0.3">
      <c r="A27">
        <v>25</v>
      </c>
      <c r="B27" t="s">
        <v>15</v>
      </c>
      <c r="C27" t="s">
        <v>6</v>
      </c>
      <c r="D27" t="s">
        <v>23</v>
      </c>
      <c r="E27">
        <v>7948</v>
      </c>
      <c r="F27">
        <v>6377.25</v>
      </c>
      <c r="G27">
        <v>1570.75</v>
      </c>
      <c r="H27" t="str">
        <f t="shared" si="0"/>
        <v>Junior - Psychology</v>
      </c>
    </row>
    <row r="28" spans="1:8" x14ac:dyDescent="0.3">
      <c r="A28">
        <v>18</v>
      </c>
      <c r="B28" t="s">
        <v>16</v>
      </c>
      <c r="C28" t="s">
        <v>9</v>
      </c>
      <c r="D28" t="s">
        <v>25</v>
      </c>
      <c r="E28">
        <v>7823</v>
      </c>
      <c r="F28">
        <v>6273.13</v>
      </c>
      <c r="G28">
        <v>1549.87</v>
      </c>
      <c r="H28" t="str">
        <f t="shared" si="0"/>
        <v>Senior - Economics</v>
      </c>
    </row>
    <row r="29" spans="1:8" x14ac:dyDescent="0.3">
      <c r="A29">
        <v>24</v>
      </c>
      <c r="B29" t="s">
        <v>16</v>
      </c>
      <c r="C29" t="s">
        <v>6</v>
      </c>
      <c r="D29" t="s">
        <v>24</v>
      </c>
      <c r="E29">
        <v>7924</v>
      </c>
      <c r="F29">
        <v>6377.25</v>
      </c>
      <c r="G29">
        <v>1546.75</v>
      </c>
      <c r="H29" t="str">
        <f t="shared" si="0"/>
        <v>Junior - Computer Science</v>
      </c>
    </row>
    <row r="30" spans="1:8" x14ac:dyDescent="0.3">
      <c r="A30">
        <v>18</v>
      </c>
      <c r="B30" t="s">
        <v>15</v>
      </c>
      <c r="C30" t="s">
        <v>8</v>
      </c>
      <c r="D30" t="s">
        <v>23</v>
      </c>
      <c r="E30">
        <v>7832</v>
      </c>
      <c r="F30">
        <v>6293.14</v>
      </c>
      <c r="G30">
        <v>1538.86</v>
      </c>
      <c r="H30" t="str">
        <f t="shared" si="0"/>
        <v>Sophomore - Psychology</v>
      </c>
    </row>
    <row r="31" spans="1:8" x14ac:dyDescent="0.3">
      <c r="A31">
        <v>23</v>
      </c>
      <c r="B31" t="s">
        <v>16</v>
      </c>
      <c r="C31" t="s">
        <v>9</v>
      </c>
      <c r="D31" t="s">
        <v>26</v>
      </c>
      <c r="E31">
        <v>7805</v>
      </c>
      <c r="F31">
        <v>6273.13</v>
      </c>
      <c r="G31">
        <v>1531.87</v>
      </c>
      <c r="H31" t="str">
        <f t="shared" si="0"/>
        <v>Senior - Biology</v>
      </c>
    </row>
    <row r="32" spans="1:8" x14ac:dyDescent="0.3">
      <c r="A32">
        <v>24</v>
      </c>
      <c r="B32" t="s">
        <v>16</v>
      </c>
      <c r="C32" t="s">
        <v>9</v>
      </c>
      <c r="D32" t="s">
        <v>25</v>
      </c>
      <c r="E32">
        <v>7804</v>
      </c>
      <c r="F32">
        <v>6273.13</v>
      </c>
      <c r="G32">
        <v>1530.87</v>
      </c>
      <c r="H32" t="str">
        <f t="shared" si="0"/>
        <v>Senior - Economics</v>
      </c>
    </row>
    <row r="33" spans="1:8" x14ac:dyDescent="0.3">
      <c r="A33">
        <v>24</v>
      </c>
      <c r="B33" t="s">
        <v>16</v>
      </c>
      <c r="C33" t="s">
        <v>7</v>
      </c>
      <c r="D33" t="s">
        <v>24</v>
      </c>
      <c r="E33">
        <v>7849</v>
      </c>
      <c r="F33">
        <v>6319.41</v>
      </c>
      <c r="G33">
        <v>1529.59</v>
      </c>
      <c r="H33" t="str">
        <f t="shared" si="0"/>
        <v>Freshman - Computer Science</v>
      </c>
    </row>
    <row r="34" spans="1:8" x14ac:dyDescent="0.3">
      <c r="A34">
        <v>19</v>
      </c>
      <c r="B34" t="s">
        <v>15</v>
      </c>
      <c r="C34" t="s">
        <v>9</v>
      </c>
      <c r="D34" t="s">
        <v>23</v>
      </c>
      <c r="E34">
        <v>7796</v>
      </c>
      <c r="F34">
        <v>6273.13</v>
      </c>
      <c r="G34">
        <v>1522.87</v>
      </c>
      <c r="H34" t="str">
        <f t="shared" ref="H34:H51" si="1">C34&amp;" - "&amp;D34</f>
        <v>Senior - Psychology</v>
      </c>
    </row>
    <row r="35" spans="1:8" x14ac:dyDescent="0.3">
      <c r="A35">
        <v>24</v>
      </c>
      <c r="B35" t="s">
        <v>17</v>
      </c>
      <c r="C35" t="s">
        <v>7</v>
      </c>
      <c r="D35" t="s">
        <v>27</v>
      </c>
      <c r="E35">
        <v>7828</v>
      </c>
      <c r="F35">
        <v>6319.41</v>
      </c>
      <c r="G35">
        <v>1508.59</v>
      </c>
      <c r="H35" t="str">
        <f t="shared" si="1"/>
        <v>Freshman - Engineering</v>
      </c>
    </row>
    <row r="36" spans="1:8" x14ac:dyDescent="0.3">
      <c r="A36">
        <v>25</v>
      </c>
      <c r="B36" t="s">
        <v>17</v>
      </c>
      <c r="C36" t="s">
        <v>7</v>
      </c>
      <c r="D36" t="s">
        <v>26</v>
      </c>
      <c r="E36">
        <v>7809</v>
      </c>
      <c r="F36">
        <v>6319.41</v>
      </c>
      <c r="G36">
        <v>1489.59</v>
      </c>
      <c r="H36" t="str">
        <f t="shared" si="1"/>
        <v>Freshman - Biology</v>
      </c>
    </row>
    <row r="37" spans="1:8" x14ac:dyDescent="0.3">
      <c r="A37">
        <v>21</v>
      </c>
      <c r="B37" t="s">
        <v>15</v>
      </c>
      <c r="C37" t="s">
        <v>6</v>
      </c>
      <c r="D37" t="s">
        <v>26</v>
      </c>
      <c r="E37">
        <v>7866</v>
      </c>
      <c r="F37">
        <v>6377.25</v>
      </c>
      <c r="G37">
        <v>1488.75</v>
      </c>
      <c r="H37" t="str">
        <f t="shared" si="1"/>
        <v>Junior - Biology</v>
      </c>
    </row>
    <row r="38" spans="1:8" x14ac:dyDescent="0.3">
      <c r="A38">
        <v>23</v>
      </c>
      <c r="B38" t="s">
        <v>15</v>
      </c>
      <c r="C38" t="s">
        <v>6</v>
      </c>
      <c r="D38" t="s">
        <v>24</v>
      </c>
      <c r="E38">
        <v>7857</v>
      </c>
      <c r="F38">
        <v>6377.25</v>
      </c>
      <c r="G38">
        <v>1479.75</v>
      </c>
      <c r="H38" t="str">
        <f t="shared" si="1"/>
        <v>Junior - Computer Science</v>
      </c>
    </row>
    <row r="39" spans="1:8" x14ac:dyDescent="0.3">
      <c r="A39">
        <v>21</v>
      </c>
      <c r="B39" t="s">
        <v>17</v>
      </c>
      <c r="C39" t="s">
        <v>6</v>
      </c>
      <c r="D39" t="s">
        <v>23</v>
      </c>
      <c r="E39">
        <v>7852</v>
      </c>
      <c r="F39">
        <v>6377.25</v>
      </c>
      <c r="G39">
        <v>1474.75</v>
      </c>
      <c r="H39" t="str">
        <f t="shared" si="1"/>
        <v>Junior - Psychology</v>
      </c>
    </row>
    <row r="40" spans="1:8" x14ac:dyDescent="0.3">
      <c r="A40">
        <v>25</v>
      </c>
      <c r="B40" t="s">
        <v>17</v>
      </c>
      <c r="C40" t="s">
        <v>8</v>
      </c>
      <c r="D40" t="s">
        <v>25</v>
      </c>
      <c r="E40">
        <v>7767</v>
      </c>
      <c r="F40">
        <v>6293.14</v>
      </c>
      <c r="G40">
        <v>1473.86</v>
      </c>
      <c r="H40" t="str">
        <f t="shared" si="1"/>
        <v>Sophomore - Economics</v>
      </c>
    </row>
    <row r="41" spans="1:8" x14ac:dyDescent="0.3">
      <c r="A41">
        <v>19</v>
      </c>
      <c r="B41" t="s">
        <v>15</v>
      </c>
      <c r="C41" t="s">
        <v>9</v>
      </c>
      <c r="D41" t="s">
        <v>26</v>
      </c>
      <c r="E41">
        <v>7743</v>
      </c>
      <c r="F41">
        <v>6273.13</v>
      </c>
      <c r="G41">
        <v>1469.87</v>
      </c>
      <c r="H41" t="str">
        <f t="shared" si="1"/>
        <v>Senior - Biology</v>
      </c>
    </row>
    <row r="42" spans="1:8" x14ac:dyDescent="0.3">
      <c r="A42">
        <v>20</v>
      </c>
      <c r="B42" t="s">
        <v>17</v>
      </c>
      <c r="C42" t="s">
        <v>6</v>
      </c>
      <c r="D42" t="s">
        <v>23</v>
      </c>
      <c r="E42">
        <v>7846</v>
      </c>
      <c r="F42">
        <v>6377.25</v>
      </c>
      <c r="G42">
        <v>1468.75</v>
      </c>
      <c r="H42" t="str">
        <f t="shared" si="1"/>
        <v>Junior - Psychology</v>
      </c>
    </row>
    <row r="43" spans="1:8" x14ac:dyDescent="0.3">
      <c r="A43">
        <v>25</v>
      </c>
      <c r="B43" t="s">
        <v>15</v>
      </c>
      <c r="C43" t="s">
        <v>9</v>
      </c>
      <c r="D43" t="s">
        <v>26</v>
      </c>
      <c r="E43">
        <v>7739</v>
      </c>
      <c r="F43">
        <v>6273.13</v>
      </c>
      <c r="G43">
        <v>1465.87</v>
      </c>
      <c r="H43" t="str">
        <f t="shared" si="1"/>
        <v>Senior - Biology</v>
      </c>
    </row>
    <row r="44" spans="1:8" x14ac:dyDescent="0.3">
      <c r="A44">
        <v>25</v>
      </c>
      <c r="B44" t="s">
        <v>15</v>
      </c>
      <c r="C44" t="s">
        <v>7</v>
      </c>
      <c r="D44" t="s">
        <v>23</v>
      </c>
      <c r="E44">
        <v>7773</v>
      </c>
      <c r="F44">
        <v>6319.41</v>
      </c>
      <c r="G44">
        <v>1453.59</v>
      </c>
      <c r="H44" t="str">
        <f t="shared" si="1"/>
        <v>Freshman - Psychology</v>
      </c>
    </row>
    <row r="45" spans="1:8" x14ac:dyDescent="0.3">
      <c r="A45">
        <v>25</v>
      </c>
      <c r="B45" t="s">
        <v>16</v>
      </c>
      <c r="C45" t="s">
        <v>9</v>
      </c>
      <c r="D45" t="s">
        <v>24</v>
      </c>
      <c r="E45">
        <v>7717</v>
      </c>
      <c r="F45">
        <v>6273.13</v>
      </c>
      <c r="G45">
        <v>1443.87</v>
      </c>
      <c r="H45" t="str">
        <f t="shared" si="1"/>
        <v>Senior - Computer Science</v>
      </c>
    </row>
    <row r="46" spans="1:8" x14ac:dyDescent="0.3">
      <c r="A46">
        <v>25</v>
      </c>
      <c r="B46" t="s">
        <v>15</v>
      </c>
      <c r="C46" t="s">
        <v>7</v>
      </c>
      <c r="D46" t="s">
        <v>26</v>
      </c>
      <c r="E46">
        <v>7760</v>
      </c>
      <c r="F46">
        <v>6319.41</v>
      </c>
      <c r="G46">
        <v>1440.59</v>
      </c>
      <c r="H46" t="str">
        <f t="shared" si="1"/>
        <v>Freshman - Biology</v>
      </c>
    </row>
    <row r="47" spans="1:8" x14ac:dyDescent="0.3">
      <c r="A47">
        <v>25</v>
      </c>
      <c r="B47" t="s">
        <v>16</v>
      </c>
      <c r="C47" t="s">
        <v>9</v>
      </c>
      <c r="D47" t="s">
        <v>24</v>
      </c>
      <c r="E47">
        <v>7708</v>
      </c>
      <c r="F47">
        <v>6273.13</v>
      </c>
      <c r="G47">
        <v>1434.87</v>
      </c>
      <c r="H47" t="str">
        <f t="shared" si="1"/>
        <v>Senior - Computer Science</v>
      </c>
    </row>
    <row r="48" spans="1:8" x14ac:dyDescent="0.3">
      <c r="A48">
        <v>24</v>
      </c>
      <c r="B48" t="s">
        <v>16</v>
      </c>
      <c r="C48" t="s">
        <v>6</v>
      </c>
      <c r="D48" t="s">
        <v>27</v>
      </c>
      <c r="E48">
        <v>7811</v>
      </c>
      <c r="F48">
        <v>6377.25</v>
      </c>
      <c r="G48">
        <v>1433.75</v>
      </c>
      <c r="H48" t="str">
        <f t="shared" si="1"/>
        <v>Junior - Engineering</v>
      </c>
    </row>
    <row r="49" spans="1:8" x14ac:dyDescent="0.3">
      <c r="A49">
        <v>18</v>
      </c>
      <c r="B49" t="s">
        <v>16</v>
      </c>
      <c r="C49" t="s">
        <v>6</v>
      </c>
      <c r="D49" t="s">
        <v>23</v>
      </c>
      <c r="E49">
        <v>7810</v>
      </c>
      <c r="F49">
        <v>6377.25</v>
      </c>
      <c r="G49">
        <v>1432.75</v>
      </c>
      <c r="H49" t="str">
        <f t="shared" si="1"/>
        <v>Junior - Psychology</v>
      </c>
    </row>
    <row r="50" spans="1:8" x14ac:dyDescent="0.3">
      <c r="A50">
        <v>22</v>
      </c>
      <c r="B50" t="s">
        <v>15</v>
      </c>
      <c r="C50" t="s">
        <v>8</v>
      </c>
      <c r="D50" t="s">
        <v>25</v>
      </c>
      <c r="E50">
        <v>7724</v>
      </c>
      <c r="F50">
        <v>6293.14</v>
      </c>
      <c r="G50">
        <v>1430.86</v>
      </c>
      <c r="H50" t="str">
        <f t="shared" si="1"/>
        <v>Sophomore - Economics</v>
      </c>
    </row>
    <row r="51" spans="1:8" x14ac:dyDescent="0.3">
      <c r="A51">
        <v>18</v>
      </c>
      <c r="B51" t="s">
        <v>16</v>
      </c>
      <c r="C51" t="s">
        <v>9</v>
      </c>
      <c r="D51" t="s">
        <v>26</v>
      </c>
      <c r="E51">
        <v>7703</v>
      </c>
      <c r="F51">
        <v>6273.13</v>
      </c>
      <c r="G51">
        <v>1429.87</v>
      </c>
      <c r="H51" t="str">
        <f t="shared" si="1"/>
        <v>Senior - Biology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98D0-67B4-4C3E-9785-A39BD021212D}">
  <dimension ref="A1:D25"/>
  <sheetViews>
    <sheetView topLeftCell="A16" workbookViewId="0"/>
  </sheetViews>
  <sheetFormatPr defaultRowHeight="14.4" x14ac:dyDescent="0.3"/>
  <cols>
    <col min="1" max="1" width="6.21875" bestFit="1" customWidth="1"/>
    <col min="2" max="2" width="26.6640625" bestFit="1" customWidth="1"/>
    <col min="3" max="3" width="15.5546875" bestFit="1" customWidth="1"/>
    <col min="4" max="4" width="16.109375" bestFit="1" customWidth="1"/>
  </cols>
  <sheetData>
    <row r="1" spans="1:4" x14ac:dyDescent="0.3">
      <c r="A1" t="s">
        <v>28</v>
      </c>
      <c r="B1" t="s">
        <v>32</v>
      </c>
      <c r="C1" t="s">
        <v>22</v>
      </c>
      <c r="D1" t="s">
        <v>33</v>
      </c>
    </row>
    <row r="2" spans="1:4" x14ac:dyDescent="0.3">
      <c r="A2">
        <v>18</v>
      </c>
      <c r="B2" t="s">
        <v>34</v>
      </c>
      <c r="C2">
        <v>45</v>
      </c>
      <c r="D2">
        <v>36.299999999999997</v>
      </c>
    </row>
    <row r="3" spans="1:4" x14ac:dyDescent="0.3">
      <c r="A3">
        <v>18</v>
      </c>
      <c r="B3" t="s">
        <v>35</v>
      </c>
      <c r="C3">
        <v>41</v>
      </c>
      <c r="D3">
        <v>33.1</v>
      </c>
    </row>
    <row r="4" spans="1:4" x14ac:dyDescent="0.3">
      <c r="A4">
        <v>18</v>
      </c>
      <c r="B4" t="s">
        <v>36</v>
      </c>
      <c r="C4">
        <v>38</v>
      </c>
      <c r="D4">
        <v>30.6</v>
      </c>
    </row>
    <row r="5" spans="1:4" x14ac:dyDescent="0.3">
      <c r="A5">
        <v>19</v>
      </c>
      <c r="B5" t="s">
        <v>35</v>
      </c>
      <c r="C5">
        <v>43</v>
      </c>
      <c r="D5">
        <v>39.799999999999997</v>
      </c>
    </row>
    <row r="6" spans="1:4" x14ac:dyDescent="0.3">
      <c r="A6">
        <v>19</v>
      </c>
      <c r="B6" t="s">
        <v>36</v>
      </c>
      <c r="C6">
        <v>36</v>
      </c>
      <c r="D6">
        <v>33.299999999999997</v>
      </c>
    </row>
    <row r="7" spans="1:4" x14ac:dyDescent="0.3">
      <c r="A7">
        <v>19</v>
      </c>
      <c r="B7" t="s">
        <v>34</v>
      </c>
      <c r="C7">
        <v>29</v>
      </c>
      <c r="D7">
        <v>26.9</v>
      </c>
    </row>
    <row r="8" spans="1:4" x14ac:dyDescent="0.3">
      <c r="A8">
        <v>20</v>
      </c>
      <c r="B8" t="s">
        <v>35</v>
      </c>
      <c r="C8">
        <v>49</v>
      </c>
      <c r="D8">
        <v>44.1</v>
      </c>
    </row>
    <row r="9" spans="1:4" x14ac:dyDescent="0.3">
      <c r="A9">
        <v>20</v>
      </c>
      <c r="B9" t="s">
        <v>34</v>
      </c>
      <c r="C9">
        <v>34</v>
      </c>
      <c r="D9">
        <v>30.6</v>
      </c>
    </row>
    <row r="10" spans="1:4" x14ac:dyDescent="0.3">
      <c r="A10">
        <v>20</v>
      </c>
      <c r="B10" t="s">
        <v>36</v>
      </c>
      <c r="C10">
        <v>28</v>
      </c>
      <c r="D10">
        <v>25.2</v>
      </c>
    </row>
    <row r="11" spans="1:4" x14ac:dyDescent="0.3">
      <c r="A11">
        <v>21</v>
      </c>
      <c r="B11" t="s">
        <v>34</v>
      </c>
      <c r="C11">
        <v>41</v>
      </c>
      <c r="D11">
        <v>34.700000000000003</v>
      </c>
    </row>
    <row r="12" spans="1:4" x14ac:dyDescent="0.3">
      <c r="A12">
        <v>21</v>
      </c>
      <c r="B12" t="s">
        <v>35</v>
      </c>
      <c r="C12">
        <v>39</v>
      </c>
      <c r="D12">
        <v>33.1</v>
      </c>
    </row>
    <row r="13" spans="1:4" x14ac:dyDescent="0.3">
      <c r="A13">
        <v>21</v>
      </c>
      <c r="B13" t="s">
        <v>36</v>
      </c>
      <c r="C13">
        <v>38</v>
      </c>
      <c r="D13">
        <v>32.200000000000003</v>
      </c>
    </row>
    <row r="14" spans="1:4" x14ac:dyDescent="0.3">
      <c r="A14">
        <v>22</v>
      </c>
      <c r="B14" t="s">
        <v>34</v>
      </c>
      <c r="C14">
        <v>53</v>
      </c>
      <c r="D14">
        <v>40.799999999999997</v>
      </c>
    </row>
    <row r="15" spans="1:4" x14ac:dyDescent="0.3">
      <c r="A15">
        <v>22</v>
      </c>
      <c r="B15" t="s">
        <v>35</v>
      </c>
      <c r="C15">
        <v>40</v>
      </c>
      <c r="D15">
        <v>30.8</v>
      </c>
    </row>
    <row r="16" spans="1:4" x14ac:dyDescent="0.3">
      <c r="A16">
        <v>22</v>
      </c>
      <c r="B16" t="s">
        <v>36</v>
      </c>
      <c r="C16">
        <v>37</v>
      </c>
      <c r="D16">
        <v>28.5</v>
      </c>
    </row>
    <row r="17" spans="1:4" x14ac:dyDescent="0.3">
      <c r="A17">
        <v>23</v>
      </c>
      <c r="B17" t="s">
        <v>36</v>
      </c>
      <c r="C17">
        <v>44</v>
      </c>
      <c r="D17">
        <v>34.4</v>
      </c>
    </row>
    <row r="18" spans="1:4" x14ac:dyDescent="0.3">
      <c r="A18">
        <v>23</v>
      </c>
      <c r="B18" t="s">
        <v>35</v>
      </c>
      <c r="C18">
        <v>43</v>
      </c>
      <c r="D18">
        <v>33.6</v>
      </c>
    </row>
    <row r="19" spans="1:4" x14ac:dyDescent="0.3">
      <c r="A19">
        <v>23</v>
      </c>
      <c r="B19" t="s">
        <v>34</v>
      </c>
      <c r="C19">
        <v>41</v>
      </c>
      <c r="D19">
        <v>32</v>
      </c>
    </row>
    <row r="20" spans="1:4" x14ac:dyDescent="0.3">
      <c r="A20">
        <v>24</v>
      </c>
      <c r="B20" t="s">
        <v>36</v>
      </c>
      <c r="C20">
        <v>47</v>
      </c>
      <c r="D20">
        <v>34.6</v>
      </c>
    </row>
    <row r="21" spans="1:4" x14ac:dyDescent="0.3">
      <c r="A21">
        <v>24</v>
      </c>
      <c r="B21" t="s">
        <v>34</v>
      </c>
      <c r="C21">
        <v>45</v>
      </c>
      <c r="D21">
        <v>33.1</v>
      </c>
    </row>
    <row r="22" spans="1:4" x14ac:dyDescent="0.3">
      <c r="A22">
        <v>24</v>
      </c>
      <c r="B22" t="s">
        <v>35</v>
      </c>
      <c r="C22">
        <v>44</v>
      </c>
      <c r="D22">
        <v>32.4</v>
      </c>
    </row>
    <row r="23" spans="1:4" x14ac:dyDescent="0.3">
      <c r="A23">
        <v>25</v>
      </c>
      <c r="B23" t="s">
        <v>34</v>
      </c>
      <c r="C23">
        <v>52</v>
      </c>
      <c r="D23">
        <v>35.9</v>
      </c>
    </row>
    <row r="24" spans="1:4" x14ac:dyDescent="0.3">
      <c r="A24">
        <v>25</v>
      </c>
      <c r="B24" t="s">
        <v>35</v>
      </c>
      <c r="C24">
        <v>51</v>
      </c>
      <c r="D24">
        <v>35.200000000000003</v>
      </c>
    </row>
    <row r="25" spans="1:4" x14ac:dyDescent="0.3">
      <c r="A25">
        <v>25</v>
      </c>
      <c r="B25" t="s">
        <v>36</v>
      </c>
      <c r="C25">
        <v>42</v>
      </c>
      <c r="D25">
        <v>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F408-3D19-453C-9AAC-E28922CC861F}">
  <dimension ref="A3:E13"/>
  <sheetViews>
    <sheetView workbookViewId="0">
      <selection activeCell="Q23" sqref="Q23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15.88671875" bestFit="1" customWidth="1"/>
    <col min="4" max="4" width="18.21875" bestFit="1" customWidth="1"/>
    <col min="5" max="5" width="10.5546875" bestFit="1" customWidth="1"/>
  </cols>
  <sheetData>
    <row r="3" spans="1:5" x14ac:dyDescent="0.3">
      <c r="A3" s="1" t="s">
        <v>39</v>
      </c>
      <c r="B3" s="1" t="s">
        <v>40</v>
      </c>
    </row>
    <row r="4" spans="1:5" x14ac:dyDescent="0.3">
      <c r="A4" s="1" t="s">
        <v>37</v>
      </c>
      <c r="B4" t="s">
        <v>36</v>
      </c>
      <c r="C4" t="s">
        <v>34</v>
      </c>
      <c r="D4" t="s">
        <v>35</v>
      </c>
      <c r="E4" t="s">
        <v>38</v>
      </c>
    </row>
    <row r="5" spans="1:5" x14ac:dyDescent="0.3">
      <c r="A5" s="2">
        <v>18</v>
      </c>
      <c r="B5">
        <v>30.6</v>
      </c>
      <c r="C5">
        <v>36.299999999999997</v>
      </c>
      <c r="D5">
        <v>33.1</v>
      </c>
      <c r="E5">
        <v>100</v>
      </c>
    </row>
    <row r="6" spans="1:5" x14ac:dyDescent="0.3">
      <c r="A6" s="2">
        <v>19</v>
      </c>
      <c r="B6">
        <v>33.299999999999997</v>
      </c>
      <c r="C6">
        <v>26.9</v>
      </c>
      <c r="D6">
        <v>39.799999999999997</v>
      </c>
      <c r="E6">
        <v>100</v>
      </c>
    </row>
    <row r="7" spans="1:5" x14ac:dyDescent="0.3">
      <c r="A7" s="2">
        <v>20</v>
      </c>
      <c r="B7">
        <v>25.2</v>
      </c>
      <c r="C7">
        <v>30.6</v>
      </c>
      <c r="D7">
        <v>44.1</v>
      </c>
      <c r="E7">
        <v>99.9</v>
      </c>
    </row>
    <row r="8" spans="1:5" x14ac:dyDescent="0.3">
      <c r="A8" s="2">
        <v>21</v>
      </c>
      <c r="B8">
        <v>32.200000000000003</v>
      </c>
      <c r="C8">
        <v>34.700000000000003</v>
      </c>
      <c r="D8">
        <v>33.1</v>
      </c>
      <c r="E8">
        <v>100</v>
      </c>
    </row>
    <row r="9" spans="1:5" x14ac:dyDescent="0.3">
      <c r="A9" s="2">
        <v>22</v>
      </c>
      <c r="B9">
        <v>28.5</v>
      </c>
      <c r="C9">
        <v>40.799999999999997</v>
      </c>
      <c r="D9">
        <v>30.8</v>
      </c>
      <c r="E9">
        <v>100.1</v>
      </c>
    </row>
    <row r="10" spans="1:5" x14ac:dyDescent="0.3">
      <c r="A10" s="2">
        <v>23</v>
      </c>
      <c r="B10">
        <v>34.4</v>
      </c>
      <c r="C10">
        <v>32</v>
      </c>
      <c r="D10">
        <v>33.6</v>
      </c>
      <c r="E10">
        <v>100</v>
      </c>
    </row>
    <row r="11" spans="1:5" x14ac:dyDescent="0.3">
      <c r="A11" s="2">
        <v>24</v>
      </c>
      <c r="B11">
        <v>34.6</v>
      </c>
      <c r="C11">
        <v>33.1</v>
      </c>
      <c r="D11">
        <v>32.4</v>
      </c>
      <c r="E11">
        <v>100.1</v>
      </c>
    </row>
    <row r="12" spans="1:5" x14ac:dyDescent="0.3">
      <c r="A12" s="2">
        <v>25</v>
      </c>
      <c r="B12">
        <v>29</v>
      </c>
      <c r="C12">
        <v>35.9</v>
      </c>
      <c r="D12">
        <v>35.200000000000003</v>
      </c>
      <c r="E12">
        <v>100.10000000000001</v>
      </c>
    </row>
    <row r="13" spans="1:5" x14ac:dyDescent="0.3">
      <c r="A13" s="2" t="s">
        <v>38</v>
      </c>
      <c r="B13">
        <v>247.8</v>
      </c>
      <c r="C13">
        <v>270.3</v>
      </c>
      <c r="D13">
        <v>282.10000000000002</v>
      </c>
      <c r="E13">
        <v>800.2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44FEBF-1383-4F77-900F-39D6C221B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Q1 Year Spending</vt:lpstr>
      <vt:lpstr>Q2 Income Gap</vt:lpstr>
      <vt:lpstr>Q3 By Major</vt:lpstr>
      <vt:lpstr>Q4_Overspenders</vt:lpstr>
      <vt:lpstr>Q5 Payment Method</vt:lpstr>
      <vt:lpstr>Pivot - Payment Method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Feranmi Otudeko</dc:creator>
  <cp:lastModifiedBy>Feranmi Otudeko</cp:lastModifiedBy>
  <dcterms:created xsi:type="dcterms:W3CDTF">2026-06-11T21:59:52Z</dcterms:created>
  <dcterms:modified xsi:type="dcterms:W3CDTF">2026-07-01T01:28:16Z</dcterms:modified>
</cp:coreProperties>
</file>